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リリース前後_横並び" sheetId="1" state="visible" r:id="rId3"/>
    <sheet name="リリース前後_時系列" sheetId="2" state="visible" r:id="rId4"/>
    <sheet name="リリース施策チェック" sheetId="3" state="visible" r:id="rId5"/>
    <sheet name="フォロワー数比較" sheetId="4" state="visible" r:id="rId6"/>
    <sheet name="最近の投稿・活動" sheetId="5" state="visible" r:id="rId7"/>
    <sheet name="アカウント一覧" sheetId="6" state="visible" r:id="rId8"/>
    <sheet name="発信スタイル比較" sheetId="7" state="visible" r:id="rId9"/>
    <sheet name="出典・注意事項" sheetId="8" state="visible" r:id="rId10"/>
  </sheets>
  <definedNames>
    <definedName function="false" hidden="true" localSheetId="1" name="_xlnm._FilterDatabase" vbProcedure="false">リリース前後_時系列!$A$4:$I$52</definedName>
    <definedName function="false" hidden="true" localSheetId="4" name="_xlnm._FilterDatabase" vbProcedure="false">最近の投稿・活動!$A$4:$F$30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5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20.1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Instagram</t>
        </r>
        <r>
          <rPr>
            <sz val="10"/>
            <rFont val="WenQuanYi Zen Hei"/>
            <family val="2"/>
          </rPr>
          <t xml:space="preserve">プロフィール検索スニペット（約</t>
        </r>
        <r>
          <rPr>
            <sz val="10"/>
            <rFont val="Arial"/>
            <family val="2"/>
          </rPr>
          <t xml:space="preserve">300</t>
        </r>
        <r>
          <rPr>
            <sz val="10"/>
            <rFont val="WenQuanYi Zen Hei"/>
            <family val="2"/>
          </rPr>
          <t xml:space="preserve">日前取得・古い可能性）</t>
        </r>
      </text>
    </comment>
    <comment ref="B6" authorId="0">
      <text>
        <r>
          <rPr>
            <sz val="10"/>
            <rFont val="Arial"/>
            <family val="2"/>
          </rPr>
          <t xml:space="preserve">ranking.net 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2</t>
        </r>
        <r>
          <rPr>
            <sz val="10"/>
            <rFont val="WenQuanYi Zen Hei"/>
            <family val="2"/>
          </rPr>
          <t xml:space="preserve">月時点</t>
        </r>
      </text>
    </comment>
    <comment ref="B7" authorId="0">
      <text>
        <r>
          <rPr>
            <sz val="10"/>
            <rFont val="Arial"/>
            <family val="2"/>
          </rPr>
          <t xml:space="preserve">HypeAuditor 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月時点（</t>
        </r>
        <r>
          <rPr>
            <sz val="10"/>
            <rFont val="Arial"/>
            <family val="2"/>
          </rPr>
          <t xml:space="preserve">Chartmetric</t>
        </r>
        <r>
          <rPr>
            <sz val="10"/>
            <rFont val="WenQuanYi Zen Hei"/>
            <family val="2"/>
          </rPr>
          <t xml:space="preserve">も</t>
        </r>
        <r>
          <rPr>
            <sz val="10"/>
            <rFont val="Arial"/>
            <family val="2"/>
          </rPr>
          <t xml:space="preserve">340</t>
        </r>
        <r>
          <rPr>
            <sz val="10"/>
            <rFont val="WenQuanYi Zen Hei"/>
            <family val="2"/>
          </rPr>
          <t xml:space="preserve">万）</t>
        </r>
      </text>
    </comment>
    <comment ref="B8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110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Chartmetric</t>
        </r>
        <r>
          <rPr>
            <sz val="10"/>
            <rFont val="WenQuanYi Zen Hei"/>
            <family val="2"/>
          </rPr>
          <t xml:space="preserve">（</t>
        </r>
        <r>
          <rPr>
            <sz val="10"/>
            <rFont val="Arial"/>
            <family val="2"/>
          </rPr>
          <t xml:space="preserve">@vaundy_engawa</t>
        </r>
        <r>
          <rPr>
            <sz val="10"/>
            <rFont val="WenQuanYi Zen Hei"/>
            <family val="2"/>
          </rPr>
          <t xml:space="preserve">）</t>
        </r>
      </text>
    </comment>
    <comment ref="B9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86.8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Chartmetric 2026-10-12</t>
        </r>
        <r>
          <rPr>
            <sz val="10"/>
            <rFont val="WenQuanYi Zen Hei"/>
            <family val="2"/>
          </rPr>
          <t xml:space="preserve">更新</t>
        </r>
      </text>
    </comment>
    <comment ref="B10" authorId="0">
      <text>
        <r>
          <rPr>
            <sz val="10"/>
            <rFont val="WenQuanYi Zen Hei"/>
            <family val="2"/>
          </rPr>
          <t xml:space="preserve">未取得（</t>
        </r>
        <r>
          <rPr>
            <sz val="10"/>
            <rFont val="Arial"/>
            <family val="2"/>
          </rPr>
          <t xml:space="preserve">@aimyon36</t>
        </r>
        <r>
          <rPr>
            <sz val="10"/>
            <rFont val="WenQuanYi Zen Hei"/>
            <family val="2"/>
          </rPr>
          <t xml:space="preserve">）</t>
        </r>
      </text>
    </comment>
    <comment ref="B11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50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Instagram</t>
        </r>
        <r>
          <rPr>
            <sz val="10"/>
            <rFont val="WenQuanYi Zen Hei"/>
            <family val="2"/>
          </rPr>
          <t xml:space="preserve">プロフィールスニペット（約</t>
        </r>
        <r>
          <rPr>
            <sz val="10"/>
            <rFont val="Arial"/>
            <family val="2"/>
          </rPr>
          <t xml:space="preserve">700</t>
        </r>
        <r>
          <rPr>
            <sz val="10"/>
            <rFont val="WenQuanYi Zen Hei"/>
            <family val="2"/>
          </rPr>
          <t xml:space="preserve">日前取得・古い）</t>
        </r>
      </text>
    </comment>
    <comment ref="C5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5.97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X </t>
        </r>
        <r>
          <rPr>
            <sz val="10"/>
            <rFont val="WenQuanYi Zen Hei"/>
            <family val="2"/>
          </rPr>
          <t xml:space="preserve">プロフィール表示（取得日不明）</t>
        </r>
      </text>
    </comment>
    <comment ref="C6" authorId="0">
      <text>
        <r>
          <rPr>
            <sz val="10"/>
            <rFont val="Arial"/>
            <family val="2"/>
          </rPr>
          <t xml:space="preserve">ranking.net 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6</t>
        </r>
        <r>
          <rPr>
            <sz val="10"/>
            <rFont val="WenQuanYi Zen Hei"/>
            <family val="2"/>
          </rPr>
          <t xml:space="preserve">月時点</t>
        </r>
      </text>
    </comment>
    <comment ref="C7" authorId="0">
      <text>
        <r>
          <rPr>
            <sz val="10"/>
            <rFont val="WenQuanYi Zen Hei"/>
            <family val="2"/>
          </rPr>
          <t xml:space="preserve">本人</t>
        </r>
        <r>
          <rPr>
            <sz val="10"/>
            <rFont val="Arial"/>
            <family val="2"/>
          </rPr>
          <t xml:space="preserve">X</t>
        </r>
        <r>
          <rPr>
            <sz val="10"/>
            <rFont val="WenQuanYi Zen Hei"/>
            <family val="2"/>
          </rPr>
          <t xml:space="preserve">は</t>
        </r>
        <r>
          <rPr>
            <sz val="10"/>
            <rFont val="Arial"/>
            <family val="2"/>
          </rPr>
          <t xml:space="preserve">2022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12</t>
        </r>
        <r>
          <rPr>
            <sz val="10"/>
            <rFont val="WenQuanYi Zen Hei"/>
            <family val="2"/>
          </rPr>
          <t xml:space="preserve">月に全削除（当時</t>
        </r>
        <r>
          <rPr>
            <sz val="10"/>
            <rFont val="Arial"/>
            <family val="2"/>
          </rPr>
          <t xml:space="preserve">68.7</t>
        </r>
        <r>
          <rPr>
            <sz val="10"/>
            <rFont val="WenQuanYi Zen Hei"/>
            <family val="2"/>
          </rPr>
          <t xml:space="preserve">万）。現在はスタッフ</t>
        </r>
        <r>
          <rPr>
            <sz val="10"/>
            <rFont val="Arial"/>
            <family val="2"/>
          </rPr>
          <t xml:space="preserve">@fujiikazestaff</t>
        </r>
        <r>
          <rPr>
            <sz val="10"/>
            <rFont val="WenQuanYi Zen Hei"/>
            <family val="2"/>
          </rPr>
          <t xml:space="preserve">運用、数値未取得</t>
        </r>
      </text>
    </comment>
    <comment ref="C8" authorId="0">
      <text>
        <r>
          <rPr>
            <sz val="10"/>
            <rFont val="Arial"/>
            <family val="2"/>
          </rPr>
          <t xml:space="preserve">2026-03-09</t>
        </r>
        <r>
          <rPr>
            <sz val="10"/>
            <rFont val="WenQuanYi Zen Hei"/>
            <family val="2"/>
          </rPr>
          <t xml:space="preserve">時点 約</t>
        </r>
        <r>
          <rPr>
            <sz val="10"/>
            <rFont val="Arial"/>
            <family val="2"/>
          </rPr>
          <t xml:space="preserve">74.5</t>
        </r>
        <r>
          <rPr>
            <sz val="10"/>
            <rFont val="WenQuanYi Zen Hei"/>
            <family val="2"/>
          </rPr>
          <t xml:space="preserve">万（ドームツアー倍率記事）</t>
        </r>
      </text>
    </comment>
    <comment ref="C9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29.7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X</t>
        </r>
        <r>
          <rPr>
            <sz val="10"/>
            <rFont val="WenQuanYi Zen Hei"/>
            <family val="2"/>
          </rPr>
          <t xml:space="preserve">プロフィール（</t>
        </r>
        <r>
          <rPr>
            <sz val="10"/>
            <rFont val="Arial"/>
            <family val="2"/>
          </rPr>
          <t xml:space="preserve">Chartmetric</t>
        </r>
        <r>
          <rPr>
            <sz val="10"/>
            <rFont val="WenQuanYi Zen Hei"/>
            <family val="2"/>
          </rPr>
          <t xml:space="preserve">は</t>
        </r>
        <r>
          <rPr>
            <sz val="10"/>
            <rFont val="Arial"/>
            <family val="2"/>
          </rPr>
          <t xml:space="preserve">29.6</t>
        </r>
        <r>
          <rPr>
            <sz val="10"/>
            <rFont val="WenQuanYi Zen Hei"/>
            <family val="2"/>
          </rPr>
          <t xml:space="preserve">万）</t>
        </r>
      </text>
    </comment>
    <comment ref="C10" authorId="0">
      <text>
        <r>
          <rPr>
            <sz val="10"/>
            <rFont val="WenQuanYi Zen Hei"/>
            <family val="2"/>
          </rPr>
          <t xml:space="preserve">未取得（</t>
        </r>
        <r>
          <rPr>
            <sz val="10"/>
            <rFont val="Arial"/>
            <family val="2"/>
          </rPr>
          <t xml:space="preserve">@aimyonGtter</t>
        </r>
        <r>
          <rPr>
            <sz val="10"/>
            <rFont val="WenQuanYi Zen Hei"/>
            <family val="2"/>
          </rPr>
          <t xml:space="preserve">）</t>
        </r>
      </text>
    </comment>
    <comment ref="C11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32.8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X</t>
        </r>
        <r>
          <rPr>
            <sz val="10"/>
            <rFont val="WenQuanYi Zen Hei"/>
            <family val="2"/>
          </rPr>
          <t xml:space="preserve">プロフィール（</t>
        </r>
        <r>
          <rPr>
            <sz val="10"/>
            <rFont val="Arial"/>
            <family val="2"/>
          </rPr>
          <t xml:space="preserve">2026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月ツアー告知表示時）</t>
        </r>
      </text>
    </comment>
    <comment ref="D5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31.9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TikTok discover</t>
        </r>
        <r>
          <rPr>
            <sz val="10"/>
            <rFont val="WenQuanYi Zen Hei"/>
            <family val="2"/>
          </rPr>
          <t xml:space="preserve">ページ表示（</t>
        </r>
        <r>
          <rPr>
            <sz val="10"/>
            <rFont val="Arial"/>
            <family val="2"/>
          </rPr>
          <t xml:space="preserve">@yu___09___11</t>
        </r>
        <r>
          <rPr>
            <sz val="10"/>
            <rFont val="WenQuanYi Zen Hei"/>
            <family val="2"/>
          </rPr>
          <t xml:space="preserve">）</t>
        </r>
      </text>
    </comment>
    <comment ref="D6" authorId="0">
      <text>
        <r>
          <rPr>
            <sz val="10"/>
            <rFont val="Arial"/>
            <family val="2"/>
          </rPr>
          <t xml:space="preserve">2024</t>
        </r>
        <r>
          <rPr>
            <sz val="10"/>
            <rFont val="WenQuanYi Zen Hei"/>
            <family val="2"/>
          </rPr>
          <t xml:space="preserve">年</t>
        </r>
        <r>
          <rPr>
            <sz val="10"/>
            <rFont val="Arial"/>
            <family val="2"/>
          </rPr>
          <t xml:space="preserve">10</t>
        </r>
        <r>
          <rPr>
            <sz val="10"/>
            <rFont val="WenQuanYi Zen Hei"/>
            <family val="2"/>
          </rPr>
          <t xml:space="preserve">月に</t>
        </r>
        <r>
          <rPr>
            <sz val="10"/>
            <rFont val="Arial"/>
            <family val="2"/>
          </rPr>
          <t xml:space="preserve">100</t>
        </r>
        <r>
          <rPr>
            <sz val="10"/>
            <rFont val="WenQuanYi Zen Hei"/>
            <family val="2"/>
          </rPr>
          <t xml:space="preserve">万突破（</t>
        </r>
        <r>
          <rPr>
            <sz val="10"/>
            <rFont val="Arial"/>
            <family val="2"/>
          </rPr>
          <t xml:space="preserve">THE FIRST TIMES</t>
        </r>
        <r>
          <rPr>
            <sz val="10"/>
            <rFont val="WenQuanYi Zen Hei"/>
            <family val="2"/>
          </rPr>
          <t xml:space="preserve">）。最新値未取得のため下限値</t>
        </r>
      </text>
    </comment>
    <comment ref="D7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120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Chartmetric</t>
        </r>
        <r>
          <rPr>
            <sz val="10"/>
            <rFont val="WenQuanYi Zen Hei"/>
            <family val="2"/>
          </rPr>
          <t xml:space="preserve">・</t>
        </r>
        <r>
          <rPr>
            <sz val="10"/>
            <rFont val="Arial"/>
            <family val="2"/>
          </rPr>
          <t xml:space="preserve">TikTok</t>
        </r>
        <r>
          <rPr>
            <sz val="10"/>
            <rFont val="WenQuanYi Zen Hei"/>
            <family val="2"/>
          </rPr>
          <t xml:space="preserve">プロフィール（</t>
        </r>
        <r>
          <rPr>
            <sz val="10"/>
            <rFont val="Arial"/>
            <family val="2"/>
          </rPr>
          <t xml:space="preserve">@fujiikaze1997</t>
        </r>
        <r>
          <rPr>
            <sz val="10"/>
            <rFont val="WenQuanYi Zen Hei"/>
            <family val="2"/>
          </rPr>
          <t xml:space="preserve">）</t>
        </r>
      </text>
    </comment>
    <comment ref="D8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9.93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TikTok discover</t>
        </r>
        <r>
          <rPr>
            <sz val="10"/>
            <rFont val="WenQuanYi Zen Hei"/>
            <family val="2"/>
          </rPr>
          <t xml:space="preserve">ページ </t>
        </r>
        <r>
          <rPr>
            <sz val="10"/>
            <rFont val="Arial"/>
            <family val="2"/>
          </rPr>
          <t xml:space="preserve">2026-09-28</t>
        </r>
        <r>
          <rPr>
            <sz val="10"/>
            <rFont val="WenQuanYi Zen Hei"/>
            <family val="2"/>
          </rPr>
          <t xml:space="preserve">更新（</t>
        </r>
        <r>
          <rPr>
            <sz val="10"/>
            <rFont val="Arial"/>
            <family val="2"/>
          </rPr>
          <t xml:space="preserve">@vaundy_artworkstudio</t>
        </r>
        <r>
          <rPr>
            <sz val="10"/>
            <rFont val="WenQuanYi Zen Hei"/>
            <family val="2"/>
          </rPr>
          <t xml:space="preserve">）</t>
        </r>
      </text>
    </comment>
    <comment ref="D9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79.8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TikTok</t>
        </r>
        <r>
          <rPr>
            <sz val="10"/>
            <rFont val="WenQuanYi Zen Hei"/>
            <family val="2"/>
          </rPr>
          <t xml:space="preserve">プロフィール（</t>
        </r>
        <r>
          <rPr>
            <sz val="10"/>
            <rFont val="Arial"/>
            <family val="2"/>
          </rPr>
          <t xml:space="preserve">@yuuri_music_official</t>
        </r>
        <r>
          <rPr>
            <sz val="10"/>
            <rFont val="WenQuanYi Zen Hei"/>
            <family val="2"/>
          </rPr>
          <t xml:space="preserve">）</t>
        </r>
      </text>
    </comment>
    <comment ref="D10" authorId="0">
      <text>
        <r>
          <rPr>
            <sz val="10"/>
            <rFont val="WenQuanYi Zen Hei"/>
            <family val="2"/>
          </rPr>
          <t xml:space="preserve">未取得（</t>
        </r>
        <r>
          <rPr>
            <sz val="10"/>
            <rFont val="Arial"/>
            <family val="2"/>
          </rPr>
          <t xml:space="preserve">@aimyon_official</t>
        </r>
        <r>
          <rPr>
            <sz val="10"/>
            <rFont val="WenQuanYi Zen Hei"/>
            <family val="2"/>
          </rPr>
          <t xml:space="preserve">）</t>
        </r>
      </text>
    </comment>
    <comment ref="D11" authorId="0">
      <text>
        <r>
          <rPr>
            <sz val="10"/>
            <rFont val="WenQuanYi Zen Hei"/>
            <family val="2"/>
          </rPr>
          <t xml:space="preserve">未取得（</t>
        </r>
        <r>
          <rPr>
            <sz val="10"/>
            <rFont val="Arial"/>
            <family val="2"/>
          </rPr>
          <t xml:space="preserve">@macaroniempitsu</t>
        </r>
        <r>
          <rPr>
            <sz val="10"/>
            <rFont val="WenQuanYi Zen Hei"/>
            <family val="2"/>
          </rPr>
          <t xml:space="preserve">）</t>
        </r>
      </text>
    </comment>
    <comment ref="E5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63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YouTube</t>
        </r>
        <r>
          <rPr>
            <sz val="10"/>
            <rFont val="WenQuanYi Zen Hei"/>
            <family val="2"/>
          </rPr>
          <t xml:space="preserve">チャンネルページ（</t>
        </r>
        <r>
          <rPr>
            <sz val="10"/>
            <rFont val="Arial"/>
            <family val="2"/>
          </rPr>
          <t xml:space="preserve">yutura</t>
        </r>
        <r>
          <rPr>
            <sz val="10"/>
            <rFont val="WenQuanYi Zen Hei"/>
            <family val="2"/>
          </rPr>
          <t xml:space="preserve">集計では約</t>
        </r>
        <r>
          <rPr>
            <sz val="10"/>
            <rFont val="Arial"/>
            <family val="2"/>
          </rPr>
          <t xml:space="preserve">60.2</t>
        </r>
        <r>
          <rPr>
            <sz val="10"/>
            <rFont val="WenQuanYi Zen Hei"/>
            <family val="2"/>
          </rPr>
          <t xml:space="preserve">万）</t>
        </r>
      </text>
    </comment>
    <comment ref="E6" authorId="0">
      <text>
        <r>
          <rPr>
            <sz val="10"/>
            <rFont val="Arial"/>
            <family val="2"/>
          </rPr>
          <t xml:space="preserve">yutura.net 2026-10-02</t>
        </r>
        <r>
          <rPr>
            <sz val="10"/>
            <rFont val="WenQuanYi Zen Hei"/>
            <family val="2"/>
          </rPr>
          <t xml:space="preserve">時点（</t>
        </r>
        <r>
          <rPr>
            <sz val="10"/>
            <rFont val="Arial"/>
            <family val="2"/>
          </rPr>
          <t xml:space="preserve">30</t>
        </r>
        <r>
          <rPr>
            <sz val="10"/>
            <rFont val="WenQuanYi Zen Hei"/>
            <family val="2"/>
          </rPr>
          <t xml:space="preserve">日で</t>
        </r>
        <r>
          <rPr>
            <sz val="10"/>
            <rFont val="Arial"/>
            <family val="2"/>
          </rPr>
          <t xml:space="preserve">+8</t>
        </r>
        <r>
          <rPr>
            <sz val="10"/>
            <rFont val="WenQuanYi Zen Hei"/>
            <family val="2"/>
          </rPr>
          <t xml:space="preserve">万）</t>
        </r>
      </text>
    </comment>
    <comment ref="E7" authorId="0">
      <text>
        <r>
          <rPr>
            <sz val="10"/>
            <rFont val="WenQuanYi Zen Hei"/>
            <family val="2"/>
          </rPr>
          <t xml:space="preserve">日本語版</t>
        </r>
        <r>
          <rPr>
            <sz val="10"/>
            <rFont val="Arial"/>
            <family val="2"/>
          </rPr>
          <t xml:space="preserve">Wikipedia 2026-09-10</t>
        </r>
        <r>
          <rPr>
            <sz val="10"/>
            <rFont val="WenQuanYi Zen Hei"/>
            <family val="2"/>
          </rPr>
          <t xml:space="preserve">時点</t>
        </r>
      </text>
    </comment>
    <comment ref="E8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260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Chartmetric</t>
        </r>
      </text>
    </comment>
    <comment ref="E9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260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Chartmetric 2026-10-12</t>
        </r>
        <r>
          <rPr>
            <sz val="10"/>
            <rFont val="WenQuanYi Zen Hei"/>
            <family val="2"/>
          </rPr>
          <t xml:space="preserve">更新</t>
        </r>
      </text>
    </comment>
    <comment ref="E10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229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日本語版</t>
        </r>
        <r>
          <rPr>
            <sz val="10"/>
            <rFont val="Arial"/>
            <family val="2"/>
          </rPr>
          <t xml:space="preserve">Wikipedia</t>
        </r>
        <r>
          <rPr>
            <sz val="10"/>
            <rFont val="WenQuanYi Zen Hei"/>
            <family val="2"/>
          </rPr>
          <t xml:space="preserve">（時点不明）</t>
        </r>
      </text>
    </comment>
    <comment ref="E11" authorId="0">
      <text>
        <r>
          <rPr>
            <sz val="10"/>
            <rFont val="WenQuanYi Zen Hei"/>
            <family val="2"/>
          </rPr>
          <t xml:space="preserve">約</t>
        </r>
        <r>
          <rPr>
            <sz val="10"/>
            <rFont val="Arial"/>
            <family val="2"/>
          </rPr>
          <t xml:space="preserve">59.7</t>
        </r>
        <r>
          <rPr>
            <sz val="10"/>
            <rFont val="WenQuanYi Zen Hei"/>
            <family val="2"/>
          </rPr>
          <t xml:space="preserve">万 </t>
        </r>
        <r>
          <rPr>
            <sz val="10"/>
            <rFont val="Arial"/>
            <family val="2"/>
          </rPr>
          <t xml:space="preserve">/ YouTube</t>
        </r>
        <r>
          <rPr>
            <sz val="10"/>
            <rFont val="WenQuanYi Zen Hei"/>
            <family val="2"/>
          </rPr>
          <t xml:space="preserve">チャンネル構造化データ（</t>
        </r>
        <r>
          <rPr>
            <sz val="10"/>
            <rFont val="Arial"/>
            <family val="2"/>
          </rPr>
          <t xml:space="preserve">Wikipedia</t>
        </r>
        <r>
          <rPr>
            <sz val="10"/>
            <rFont val="WenQuanYi Zen Hei"/>
            <family val="2"/>
          </rPr>
          <t xml:space="preserve">は</t>
        </r>
        <r>
          <rPr>
            <sz val="10"/>
            <rFont val="Arial"/>
            <family val="2"/>
          </rPr>
          <t xml:space="preserve">55.2</t>
        </r>
        <r>
          <rPr>
            <sz val="10"/>
            <rFont val="WenQuanYi Zen Hei"/>
            <family val="2"/>
          </rPr>
          <t xml:space="preserve">万）</t>
        </r>
      </text>
    </comment>
  </commentList>
</comments>
</file>

<file path=xl/sharedStrings.xml><?xml version="1.0" encoding="utf-8"?>
<sst xmlns="http://schemas.openxmlformats.org/spreadsheetml/2006/main" count="1009" uniqueCount="605">
  <si>
    <t xml:space="preserve">楽曲リリース前後の投稿・発信 横並び比較</t>
  </si>
  <si>
    <t xml:space="preserve">各アーティストの直近の主要リリース1作（Tani Yuukiは2作）。投稿・告知・報道で確認できたもの。詳細は「リリース前後_時系列」シート。</t>
  </si>
  <si>
    <t xml:space="preserve">フェーズ</t>
  </si>
  <si>
    <t xml:space="preserve">Tani Yuuki</t>
  </si>
  <si>
    <t xml:space="preserve">Mrs. GREEN APPLE</t>
  </si>
  <si>
    <t xml:space="preserve">藤井風</t>
  </si>
  <si>
    <t xml:space="preserve">Vaundy</t>
  </si>
  <si>
    <t xml:space="preserve">優里</t>
  </si>
  <si>
    <t xml:space="preserve">あいみょん</t>
  </si>
  <si>
    <t xml:space="preserve">マカロニえんぴつ</t>
  </si>
  <si>
    <t xml:space="preserve">対象作品</t>
  </si>
  <si>
    <t xml:space="preserve">アイノウタ</t>
  </si>
  <si>
    <t xml:space="preserve">エイリアンズ（EP『SPACE RENDEZVOUS』）</t>
  </si>
  <si>
    <t xml:space="preserve">アルバム『POPS』／「共犯」</t>
  </si>
  <si>
    <t xml:space="preserve">「It's Alright」（『Pre: Prema』）</t>
  </si>
  <si>
    <t xml:space="preserve">イデアが溢れて眠れない</t>
  </si>
  <si>
    <t xml:space="preserve">世界が終わりました</t>
  </si>
  <si>
    <t xml:space="preserve">さながらロンリー</t>
  </si>
  <si>
    <t xml:space="preserve">運命さがし</t>
  </si>
  <si>
    <t xml:space="preserve">リリース日</t>
  </si>
  <si>
    <t xml:space="preserve">2026-06-19</t>
  </si>
  <si>
    <r>
      <rPr>
        <b val="true"/>
        <sz val="10"/>
        <rFont val="Arial"/>
        <family val="0"/>
        <charset val="1"/>
      </rPr>
      <t xml:space="preserve">2026-09-25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EP 10/14</t>
    </r>
    <r>
      <rPr>
        <b val="true"/>
        <sz val="10"/>
        <rFont val="WenQuanYi Zen Hei"/>
        <family val="2"/>
      </rPr>
      <t xml:space="preserve">）</t>
    </r>
  </si>
  <si>
    <r>
      <rPr>
        <b val="true"/>
        <sz val="10"/>
        <rFont val="Arial"/>
        <family val="0"/>
        <charset val="1"/>
      </rPr>
      <t xml:space="preserve">2026-09-29</t>
    </r>
    <r>
      <rPr>
        <b val="true"/>
        <sz val="10"/>
        <rFont val="WenQuanYi Zen Hei"/>
        <family val="2"/>
      </rPr>
      <t xml:space="preserve">（配信）・</t>
    </r>
    <r>
      <rPr>
        <b val="true"/>
        <sz val="10"/>
        <rFont val="Arial"/>
        <family val="0"/>
        <charset val="1"/>
      </rPr>
      <t xml:space="preserve">9/30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CD</t>
    </r>
    <r>
      <rPr>
        <b val="true"/>
        <sz val="10"/>
        <rFont val="WenQuanYi Zen Hei"/>
        <family val="2"/>
      </rPr>
      <t xml:space="preserve">）</t>
    </r>
  </si>
  <si>
    <t xml:space="preserve">2026-04-03</t>
  </si>
  <si>
    <t xml:space="preserve">2026-04-20</t>
  </si>
  <si>
    <t xml:space="preserve">2026-01-14</t>
  </si>
  <si>
    <t xml:space="preserve">2026-10-12</t>
  </si>
  <si>
    <r>
      <rPr>
        <b val="true"/>
        <sz val="10"/>
        <rFont val="Arial"/>
        <family val="0"/>
        <charset val="1"/>
      </rPr>
      <t xml:space="preserve">2026-09-16</t>
    </r>
    <r>
      <rPr>
        <b val="true"/>
        <sz val="10"/>
        <rFont val="WenQuanYi Zen Hei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EP</t>
    </r>
    <r>
      <rPr>
        <b val="true"/>
        <sz val="10"/>
        <rFont val="WenQuanYi Zen Hei"/>
        <family val="2"/>
      </rPr>
      <t xml:space="preserve">）</t>
    </r>
  </si>
  <si>
    <t xml:space="preserve">①予告・制作共有</t>
  </si>
  <si>
    <t xml:space="preserve">【2月頃｜TikTok】制作中の新曲を一部弾き語りで公開「ちょっとだけ聞いてみてー！」＋タイトル案をコメントで募集</t>
  </si>
  <si>
    <t xml:space="preserve">【8月｜メディア（ぴあ関西）】インタビューで「宇宙船に乗って、新たな出会いを見つけに行く」とEPのコンセプトを発信</t>
  </si>
  <si>
    <t xml:space="preserve">【9月（連日）｜X・Instagram（鍵アカウント）】毎日21〜22時だけ鍵を開ける専用アカウントで16曲分のポスターを連日発信</t>
  </si>
  <si>
    <t xml:space="preserve">【4/22｜Instagram・X（staff）等】MV公開前日に4種のKVポスター解禁、「泥無くして蓮は無し」など謎のコピー</t>
  </si>
  <si>
    <t xml:space="preserve">—（確認できず）</t>
  </si>
  <si>
    <t xml:space="preserve">②発表・告知</t>
  </si>
  <si>
    <t xml:space="preserve">【3〜5月｜TikTok】募集した案から「タイトル『アイノウタ』にしようかな！」と発表／リリース決定動画
【6月上旬｜TikTok／YouTube Shorts】「2026.06.19(FRI) 0時リリース！」告知動画（#アイノウタ #新曲）</t>
  </si>
  <si>
    <t xml:space="preserve">【7月｜オフィシャルHP・各SNS】“宇宙”がテーマのコンセプトEP『SPACE RENDEZVOUS』10/14発売＋全国ツアー・初アリーナ発表
【9月中旬｜X（staff）】「エイリアンズ」9/25先行配信決定＋配信予約（Pre-save）リンク</t>
  </si>
  <si>
    <t xml:space="preserve">【8/25｜公式HP・各SNS】全16曲の曲名＆曲順を先に公開、アルバムタイトルは「9/9発表」と予告
【9/9｜公式HP・各SNS】タイトル『POPS』＋カバーアート公開、スマホ専用特設サイト、Pre-add／Pre-save／Pre-Orderキャンペーン</t>
  </si>
  <si>
    <t xml:space="preserve">【3/27｜公式HP・各SNS】『Pre: Prema』4/3配信を発表</t>
  </si>
  <si>
    <t xml:space="preserve">【3/28｜ライブ】ドームツアー最終公演で新曲と月9ドラマ主題歌決定を発表
【3/30｜公式HP・各SNS】4/20配信を発表、同時に前曲「The SILENCE」MVを公開</t>
  </si>
  <si>
    <t xml:space="preserve">【2025/12/15｜X（本人）】「ドラマ『再会〜Silent Truth〜』の主題歌を担当させて頂くことになりました！」と本人が報告、楽曲の一部も公開</t>
  </si>
  <si>
    <t xml:space="preserve">【10/4頃｜公式HP・各SNS・YouTube】10/12配信決定、新アー写・ジャケ写・very short movie（約1分）を一挙公開</t>
  </si>
  <si>
    <t xml:space="preserve">【8月｜コメント】「素直で優しい歌ができました」とメンバーがコメント</t>
  </si>
  <si>
    <t xml:space="preserve">③先行公開</t>
  </si>
  <si>
    <t xml:space="preserve">【6/10｜ライブ】ツアー大阪公演で初披露</t>
  </si>
  <si>
    <t xml:space="preserve">【9/14｜ラジオ→X（staff）】FM802「Somethin'New」で初オンエア、@taniyuuki_staffが告知</t>
  </si>
  <si>
    <t xml:space="preserve">【9/25｜YouTube・HP】特典映像ドキュメンタリー「Episode 10 “POPS”」ティザー</t>
  </si>
  <si>
    <t xml:space="preserve">【3/27｜TikTok・Instagram等】発表と同日に「It's Alright」の短尺音源（スニペット）をSNSで使えるよう解禁</t>
  </si>
  <si>
    <t xml:space="preserve">【4月〜｜TV】月9『サバ缶、宇宙へ行く』主題歌として毎週オンエア</t>
  </si>
  <si>
    <t xml:space="preserve">【1/13｜X（staff）／YouTube】ドラマ初回放送日にLyric Music Video（ショートver.）公開＋配信リンク</t>
  </si>
  <si>
    <t xml:space="preserve">【10/4｜TV】ドラマ『もうパパ！』放送開始（主題歌）
【10/5 0時｜TikTok等SNS】一部音源を先行配信（SNSで使える状態に）
【10/5｜ラジオ】FM802でフル尺初オンエア</t>
  </si>
  <si>
    <t xml:space="preserve">【8/24｜TikTok】TikTokで一部先行配信＋「#運命さがし」ハッシュタグチャレンジ（曲を使った風景動画を募集、〜9/30）
【8/24〜9/1｜ラジオ】FM802で期間限定の独占オンエア</t>
  </si>
  <si>
    <t xml:space="preserve">④リリース当日</t>
  </si>
  <si>
    <t xml:space="preserve">【6/19｜YouTube Shorts／YouTube】「リリース＆MV公開されました！たくさん届けー！」＋MV公開（白石乙華 出演）</t>
  </si>
  <si>
    <t xml:space="preserve">【9/25｜YouTube・各SNS】配信開始＋MV公開</t>
  </si>
  <si>
    <t xml:space="preserve">【9/29 0:00｜配信／TikTok】デジタル先行配信、TikTokで日本アーティスト初のグローバル・キャンペーン</t>
  </si>
  <si>
    <t xml:space="preserve">【4/3 13時（日本時間）｜配信】『Pre: Prema』配信リリース</t>
  </si>
  <si>
    <t xml:space="preserve">【4/20｜配信】デジタル配信</t>
  </si>
  <si>
    <t xml:space="preserve">【1/14｜配信】デジタルリリース（ドラマ初回の翌日）</t>
  </si>
  <si>
    <t xml:space="preserve">【10/12 0時｜配信・YouTube】配信開始＋オフィシャルオーディオ公開、各種デジタルキャンペーン開始</t>
  </si>
  <si>
    <t xml:space="preserve">【9/16｜配信・THE FIRST TAKE】EP「運命さがし」「終宵」発売＋THE FIRST TAKEで一発撮り披露</t>
  </si>
  <si>
    <t xml:space="preserve">⑤リリース後</t>
  </si>
  <si>
    <t xml:space="preserve">【6〜7月｜TikTok】3週連続投稿の企画、ラストはトークボックスカバー</t>
  </si>
  <si>
    <t xml:space="preserve">【9〜10月｜TikTok】KOBE AUTUMN FES等のフェスでの「エイリアンズ」ライブ映像を投稿
【10/14｜各SNS】EP『SPACE RENDEZVOUS』発売</t>
  </si>
  <si>
    <t xml:space="preserve">【10/2→10/3｜X→YouTube】Xで「共犯」MVの公開日時告知→10/3 20時プレミア公開＋全曲ポスタートレーラー
【10/4｜Spotify】「Liner Voice+」300人限定公開収録で制作背景を語る</t>
  </si>
  <si>
    <t xml:space="preserve">【4月｜ライブ（海外）】コーチェラ初出演で同曲をパフォーマンス
【4/23 12時｜YouTube】MVプレミア公開（Nina McNeely監督）</t>
  </si>
  <si>
    <t xml:space="preserve">【5/25 22時｜YouTube・公式HP/FC】Vaundy自身が監督、出口夏希出演のMV公開
【5/28｜TV】MVメイキングをフジテレビ「STAR」で放送</t>
  </si>
  <si>
    <t xml:space="preserve">【4/6｜YouTube】「CDTVライブ！ライブ！」での歌唱映像を期間限定公開
【時期要確認｜YouTube】竹内涼真出演、ナミブ砂漠で撮影した本MVをプレミア公開</t>
  </si>
  <si>
    <t xml:space="preserve">【9/22→9/23 21時｜X・HP→YouTube】前日にMVプレミア告知→野村周平・鳴海唯出演のMVをプレミア公開
【10/3〜｜ライブ】アリーナツアー「マカロックツアーvol.22」で披露</t>
  </si>
  <si>
    <t xml:space="preserve">ポイント</t>
  </si>
  <si>
    <t xml:space="preserve">ファン参加でタイトル決定→ライブ初披露→3週連続投稿</t>
  </si>
  <si>
    <t xml:space="preserve">コンセプトEPの世界観発信→ラジオ初OA→先行配信</t>
  </si>
  <si>
    <t xml:space="preserve">鍵アカウントで毎晩ポスター連投＋予約キャンペーン→発売後にMVで第2波</t>
  </si>
  <si>
    <t xml:space="preserve">発表と同時に短尺音源をUGC用に解禁、MV前日に謎のKVポスター</t>
  </si>
  <si>
    <t xml:space="preserve">ライブで初告知、タイアップで先行露出、MVは1か月後</t>
  </si>
  <si>
    <t xml:space="preserve">本人Xで報告→ドラマ初回にLyric MV→翌日配信</t>
  </si>
  <si>
    <t xml:space="preserve">ビジュアル一斉解禁→TikTok先行＋ラジオでフル尺→配信</t>
  </si>
  <si>
    <r>
      <rPr>
        <b val="true"/>
        <sz val="10"/>
        <rFont val="Arial"/>
        <family val="0"/>
        <charset val="1"/>
      </rPr>
      <t xml:space="preserve">TikTok</t>
    </r>
    <r>
      <rPr>
        <b val="true"/>
        <sz val="10"/>
        <rFont val="WenQuanYi Zen Hei"/>
        <family val="2"/>
      </rPr>
      <t xml:space="preserve">先行＋ハッシュタグチャレンジ（</t>
    </r>
    <r>
      <rPr>
        <b val="true"/>
        <sz val="10"/>
        <rFont val="Arial"/>
        <family val="0"/>
        <charset val="1"/>
      </rPr>
      <t xml:space="preserve">UGC</t>
    </r>
    <r>
      <rPr>
        <b val="true"/>
        <sz val="10"/>
        <rFont val="WenQuanYi Zen Hei"/>
        <family val="2"/>
      </rPr>
      <t xml:space="preserve">企画）→</t>
    </r>
    <r>
      <rPr>
        <b val="true"/>
        <sz val="10"/>
        <rFont val="Arial"/>
        <family val="0"/>
        <charset val="1"/>
      </rPr>
      <t xml:space="preserve">EP→MV</t>
    </r>
    <r>
      <rPr>
        <b val="true"/>
        <sz val="10"/>
        <rFont val="WenQuanYi Zen Hei"/>
        <family val="2"/>
      </rPr>
      <t xml:space="preserve">プレミア</t>
    </r>
  </si>
  <si>
    <t xml:space="preserve">楽曲リリース前後の投稿・発信 時系列リスト</t>
  </si>
  <si>
    <t xml:space="preserve">フィルターでアーティスト／フェーズを絞り込めます。</t>
  </si>
  <si>
    <t xml:space="preserve">アーティスト</t>
  </si>
  <si>
    <t xml:space="preserve">日付</t>
  </si>
  <si>
    <t xml:space="preserve">プラットフォーム</t>
  </si>
  <si>
    <t xml:space="preserve">投稿・発信内容</t>
  </si>
  <si>
    <t xml:space="preserve">狙い・反響</t>
  </si>
  <si>
    <t xml:space="preserve">出典</t>
  </si>
  <si>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月頃</t>
    </r>
  </si>
  <si>
    <t xml:space="preserve">TikTok</t>
  </si>
  <si>
    <t xml:space="preserve">制作中の新曲を一部弾き語りで公開「ちょっとだけ聞いてみてー！」＋タイトル案をコメントで募集</t>
  </si>
  <si>
    <t xml:space="preserve">ファン参加型。コメントで共創感を作る</t>
  </si>
  <si>
    <t xml:space="preserve">TikTok @yu___09___11 / YouTube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</si>
  <si>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月</t>
    </r>
  </si>
  <si>
    <t xml:space="preserve">募集した案から「タイトル『アイノウタ』にしようかな！」と発表／リリース決定動画</t>
  </si>
  <si>
    <t xml:space="preserve">募集→決定の流れで“自分ごと化”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</si>
  <si>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月上旬</t>
    </r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</si>
  <si>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YouTube Shorts</t>
    </r>
  </si>
  <si>
    <t xml:space="preserve">「2026.06.19(FRI) 0時リリース！」告知動画（#アイノウタ #新曲）</t>
  </si>
  <si>
    <t xml:space="preserve">告知投稿で約3.8万いいね・758コメント</t>
  </si>
  <si>
    <t xml:space="preserve">6/10</t>
  </si>
  <si>
    <t xml:space="preserve">ライブ</t>
  </si>
  <si>
    <t xml:space="preserve">ツアー大阪公演で初披露</t>
  </si>
  <si>
    <t xml:space="preserve">ライブ先行で口コミを作る</t>
  </si>
  <si>
    <t xml:space="preserve">6/19</t>
  </si>
  <si>
    <r>
      <rPr>
        <sz val="10"/>
        <rFont val="Arial"/>
        <family val="0"/>
        <charset val="1"/>
      </rPr>
      <t xml:space="preserve">YouTube Shorts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YouTube</t>
    </r>
  </si>
  <si>
    <t xml:space="preserve">「リリース＆MV公開されました！たくさん届けー！」＋MV公開（白石乙華 出演）</t>
  </si>
  <si>
    <t xml:space="preserve">音源・MV同時解禁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</si>
  <si>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月</t>
    </r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</si>
  <si>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週連続投稿の企画、ラストはトークボックスカバー</t>
    </r>
  </si>
  <si>
    <t xml:space="preserve">リリース後も派生コンテンツで露出継続</t>
  </si>
  <si>
    <r>
      <rPr>
        <sz val="10"/>
        <rFont val="Arial"/>
        <family val="0"/>
        <charset val="1"/>
      </rPr>
      <t xml:space="preserve">2026-09-25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EP 10/14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</si>
  <si>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8</t>
    </r>
    <r>
      <rPr>
        <sz val="10"/>
        <rFont val="WenQuanYi Zen Hei"/>
        <family val="2"/>
      </rPr>
      <t xml:space="preserve">月</t>
    </r>
  </si>
  <si>
    <t xml:space="preserve">メディア（ぴあ関西）</t>
  </si>
  <si>
    <t xml:space="preserve">インタビューで「宇宙船に乗って、新たな出会いを見つけに行く」とEPのコンセプトを発信</t>
  </si>
  <si>
    <t xml:space="preserve">世界観の言語化</t>
  </si>
  <si>
    <r>
      <rPr>
        <sz val="10"/>
        <rFont val="Arial"/>
        <family val="0"/>
        <charset val="1"/>
      </rPr>
      <t xml:space="preserve">X @taniyuuki_staff / Real Sound / </t>
    </r>
    <r>
      <rPr>
        <sz val="10"/>
        <rFont val="WenQuanYi Zen Hei"/>
        <family val="2"/>
      </rPr>
      <t xml:space="preserve">ぴあ関西 </t>
    </r>
    <r>
      <rPr>
        <sz val="10"/>
        <rFont val="Arial"/>
        <family val="0"/>
        <charset val="1"/>
      </rPr>
      <t xml:space="preserve">/ Yahoo!</t>
    </r>
    <r>
      <rPr>
        <sz val="10"/>
        <rFont val="WenQuanYi Zen Hei"/>
        <family val="2"/>
      </rPr>
      <t xml:space="preserve">リアルタイム</t>
    </r>
  </si>
  <si>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月</t>
    </r>
  </si>
  <si>
    <t xml:space="preserve">オフィシャルHP・各SNS</t>
  </si>
  <si>
    <t xml:space="preserve">“宇宙”がテーマのコンセプトEP『SPACE RENDEZVOUS』10/14発売＋全国ツアー・初アリーナ発表</t>
  </si>
  <si>
    <t xml:space="preserve">作品とツアーをセットで発表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</si>
  <si>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月中旬</t>
    </r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</si>
  <si>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staff</t>
    </r>
    <r>
      <rPr>
        <sz val="10"/>
        <rFont val="WenQuanYi Zen Hei"/>
        <family val="2"/>
      </rPr>
      <t xml:space="preserve">）</t>
    </r>
  </si>
  <si>
    <t xml:space="preserve">「エイリアンズ」9/25先行配信決定＋配信予約（Pre-save）リンク</t>
  </si>
  <si>
    <t xml:space="preserve">予約導線あり</t>
  </si>
  <si>
    <t xml:space="preserve">9/14</t>
  </si>
  <si>
    <t xml:space="preserve">ラジオ→X（staff）</t>
  </si>
  <si>
    <r>
      <rPr>
        <sz val="10"/>
        <rFont val="Arial"/>
        <family val="0"/>
        <charset val="1"/>
      </rPr>
      <t xml:space="preserve">FM802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Somethin'New</t>
    </r>
    <r>
      <rPr>
        <sz val="10"/>
        <rFont val="WenQuanYi Zen Hei"/>
        <family val="2"/>
      </rPr>
      <t xml:space="preserve">」で初オンエア、</t>
    </r>
    <r>
      <rPr>
        <sz val="10"/>
        <rFont val="Arial"/>
        <family val="0"/>
        <charset val="1"/>
      </rPr>
      <t xml:space="preserve">@taniyuuki_staff</t>
    </r>
    <r>
      <rPr>
        <sz val="10"/>
        <rFont val="WenQuanYi Zen Hei"/>
        <family val="2"/>
      </rPr>
      <t xml:space="preserve">が告知</t>
    </r>
  </si>
  <si>
    <t xml:space="preserve">ラジオ初OAをSNSで拡散</t>
  </si>
  <si>
    <t xml:space="preserve">9/25</t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</si>
  <si>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・各</t>
    </r>
    <r>
      <rPr>
        <sz val="10"/>
        <rFont val="Arial"/>
        <family val="0"/>
        <charset val="1"/>
      </rPr>
      <t xml:space="preserve">SNS</t>
    </r>
  </si>
  <si>
    <t xml:space="preserve">配信開始＋MV公開</t>
  </si>
  <si>
    <t xml:space="preserve">ファンから「明るくアップテンポ」「転調が良い」と反響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</si>
  <si>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10</t>
    </r>
    <r>
      <rPr>
        <sz val="10"/>
        <rFont val="WenQuanYi Zen Hei"/>
        <family val="2"/>
      </rPr>
      <t xml:space="preserve">月</t>
    </r>
  </si>
  <si>
    <r>
      <rPr>
        <sz val="10"/>
        <rFont val="Arial"/>
        <family val="0"/>
        <charset val="1"/>
      </rPr>
      <t xml:space="preserve">KOBE AUTUMN FES</t>
    </r>
    <r>
      <rPr>
        <sz val="10"/>
        <rFont val="WenQuanYi Zen Hei"/>
        <family val="2"/>
      </rPr>
      <t xml:space="preserve">等のフェスでの「エイリアンズ」ライブ映像を投稿</t>
    </r>
  </si>
  <si>
    <t xml:space="preserve">ライブ映像で楽曲を浸透</t>
  </si>
  <si>
    <t xml:space="preserve">10/14</t>
  </si>
  <si>
    <t xml:space="preserve">各SNS</t>
  </si>
  <si>
    <r>
      <rPr>
        <sz val="10"/>
        <rFont val="Arial"/>
        <family val="0"/>
        <charset val="1"/>
      </rPr>
      <t xml:space="preserve">EP</t>
    </r>
    <r>
      <rPr>
        <sz val="10"/>
        <rFont val="WenQuanYi Zen Hei"/>
        <family val="2"/>
      </rPr>
      <t xml:space="preserve">『</t>
    </r>
    <r>
      <rPr>
        <sz val="10"/>
        <rFont val="Arial"/>
        <family val="0"/>
        <charset val="1"/>
      </rPr>
      <t xml:space="preserve">SPACE RENDEZVOUS</t>
    </r>
    <r>
      <rPr>
        <sz val="10"/>
        <rFont val="WenQuanYi Zen Hei"/>
        <family val="2"/>
      </rPr>
      <t xml:space="preserve">』発売</t>
    </r>
  </si>
  <si>
    <t xml:space="preserve">—</t>
  </si>
  <si>
    <r>
      <rPr>
        <sz val="10"/>
        <rFont val="Arial"/>
        <family val="0"/>
        <charset val="1"/>
      </rPr>
      <t xml:space="preserve">2026-09-29</t>
    </r>
    <r>
      <rPr>
        <sz val="10"/>
        <rFont val="WenQuanYi Zen Hei"/>
        <family val="2"/>
      </rPr>
      <t xml:space="preserve">（配信）・</t>
    </r>
    <r>
      <rPr>
        <sz val="10"/>
        <rFont val="Arial"/>
        <family val="0"/>
        <charset val="1"/>
      </rPr>
      <t xml:space="preserve">9/30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CD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</si>
  <si>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月（連日）</t>
    </r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</si>
  <si>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（鍵アカウント）</t>
    </r>
  </si>
  <si>
    <t xml:space="preserve">毎日21〜22時だけ鍵を開ける専用アカウントで16曲分のポスターを連日発信</t>
  </si>
  <si>
    <t xml:space="preserve">“時間限定”で毎晩の来訪を習慣化</t>
  </si>
  <si>
    <r>
      <rPr>
        <sz val="10"/>
        <rFont val="Arial"/>
        <family val="0"/>
        <charset val="1"/>
      </rPr>
      <t xml:space="preserve">TOWER RECORDS / BARKS / </t>
    </r>
    <r>
      <rPr>
        <sz val="10"/>
        <rFont val="WenQuanYi Zen Hei"/>
        <family val="2"/>
      </rPr>
      <t xml:space="preserve">公式サイト </t>
    </r>
    <r>
      <rPr>
        <sz val="10"/>
        <rFont val="Arial"/>
        <family val="0"/>
        <charset val="1"/>
      </rPr>
      <t xml:space="preserve">/ Wikipedia / Skream!</t>
    </r>
  </si>
  <si>
    <t xml:space="preserve">8/25</t>
  </si>
  <si>
    <t xml:space="preserve">公式HP・各SNS</t>
  </si>
  <si>
    <t xml:space="preserve">全16曲の曲名＆曲順を先に公開、アルバムタイトルは「9/9発表」と予告</t>
  </si>
  <si>
    <t xml:space="preserve">タイトルを伏せて期待を溜める</t>
  </si>
  <si>
    <t xml:space="preserve">9/9</t>
  </si>
  <si>
    <t xml:space="preserve">タイトル『POPS』＋カバーアート公開、スマホ専用特設サイト、Pre-add／Pre-save／Pre-Orderキャンペーン</t>
  </si>
  <si>
    <t xml:space="preserve">予約施策で初動を最大化</t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</si>
  <si>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HP</t>
    </r>
  </si>
  <si>
    <t xml:space="preserve">特典映像ドキュメンタリー「Episode 10 “POPS”」ティザー</t>
  </si>
  <si>
    <t xml:space="preserve">購入動機づくり</t>
  </si>
  <si>
    <t xml:space="preserve">9/29 0:00</t>
  </si>
  <si>
    <t xml:space="preserve">配信／TikTok</t>
  </si>
  <si>
    <t xml:space="preserve">デジタル先行配信、TikTokで日本アーティスト初のグローバル・キャンペーン</t>
  </si>
  <si>
    <t xml:space="preserve">海外含む短尺拡散</t>
  </si>
  <si>
    <t xml:space="preserve">10/2→10/3</t>
  </si>
  <si>
    <t xml:space="preserve">X→YouTube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</si>
  <si>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で「共犯」</t>
    </r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の公開日時告知→</t>
    </r>
    <r>
      <rPr>
        <sz val="10"/>
        <rFont val="Arial"/>
        <family val="0"/>
        <charset val="1"/>
      </rPr>
      <t xml:space="preserve">10/3 20</t>
    </r>
    <r>
      <rPr>
        <sz val="10"/>
        <rFont val="WenQuanYi Zen Hei"/>
        <family val="2"/>
      </rPr>
      <t xml:space="preserve">時プレミア公開＋全曲ポスタートレーラー</t>
    </r>
  </si>
  <si>
    <t xml:space="preserve">リリース後にMVで第2波</t>
  </si>
  <si>
    <t xml:space="preserve">10/4</t>
  </si>
  <si>
    <t xml:space="preserve">Spotify</t>
  </si>
  <si>
    <t xml:space="preserve">「Liner Voice+」300人限定公開収録で制作背景を語る</t>
  </si>
  <si>
    <t xml:space="preserve">深掘りコンテンツでファン層を厚く</t>
  </si>
  <si>
    <t xml:space="preserve">4/22</t>
  </si>
  <si>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staff</t>
    </r>
    <r>
      <rPr>
        <sz val="10"/>
        <rFont val="WenQuanYi Zen Hei"/>
        <family val="2"/>
      </rPr>
      <t xml:space="preserve">）等</t>
    </r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</si>
  <si>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公開前日に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種の</t>
    </r>
    <r>
      <rPr>
        <sz val="10"/>
        <rFont val="Arial"/>
        <family val="0"/>
        <charset val="1"/>
      </rPr>
      <t xml:space="preserve">KV</t>
    </r>
    <r>
      <rPr>
        <sz val="10"/>
        <rFont val="WenQuanYi Zen Hei"/>
        <family val="2"/>
      </rPr>
      <t xml:space="preserve">ポスター解禁、「泥無くして蓮は無し」など謎のコピー</t>
    </r>
  </si>
  <si>
    <t xml:space="preserve">意味深なビジュアルで考察を誘う</t>
  </si>
  <si>
    <r>
      <rPr>
        <sz val="10"/>
        <rFont val="Arial"/>
        <family val="0"/>
        <charset val="1"/>
      </rPr>
      <t xml:space="preserve">Bezzy / </t>
    </r>
    <r>
      <rPr>
        <sz val="10"/>
        <rFont val="WenQuanYi Zen Hei"/>
        <family val="2"/>
      </rPr>
      <t xml:space="preserve">音楽ナタリー </t>
    </r>
    <r>
      <rPr>
        <sz val="10"/>
        <rFont val="Arial"/>
        <family val="0"/>
        <charset val="1"/>
      </rPr>
      <t xml:space="preserve">/ THE FIRST TIMES / Real Sound</t>
    </r>
  </si>
  <si>
    <t xml:space="preserve">3/27</t>
  </si>
  <si>
    <t xml:space="preserve">『Pre: Prema』4/3配信を発表</t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</si>
  <si>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等</t>
    </r>
  </si>
  <si>
    <t xml:space="preserve">発表と同日に「It's Alright」の短尺音源（スニペット）をSNSで使えるよう解禁</t>
  </si>
  <si>
    <t xml:space="preserve">リリース前からUGCで使わせる</t>
  </si>
  <si>
    <r>
      <rPr>
        <sz val="10"/>
        <rFont val="Arial"/>
        <family val="0"/>
        <charset val="1"/>
      </rPr>
      <t xml:space="preserve">4/3 13</t>
    </r>
    <r>
      <rPr>
        <sz val="10"/>
        <rFont val="WenQuanYi Zen Hei"/>
        <family val="2"/>
      </rPr>
      <t xml:space="preserve">時（日本時間）</t>
    </r>
  </si>
  <si>
    <t xml:space="preserve">配信</t>
  </si>
  <si>
    <t xml:space="preserve">『Pre: Prema』配信リリース</t>
  </si>
  <si>
    <t xml:space="preserve">海外同時を意識した時刻設定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</si>
  <si>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月</t>
    </r>
  </si>
  <si>
    <t xml:space="preserve">ライブ（海外）</t>
  </si>
  <si>
    <t xml:space="preserve">コーチェラ初出演で同曲をパフォーマンス</t>
  </si>
  <si>
    <t xml:space="preserve">海外ライブを話題化</t>
  </si>
  <si>
    <r>
      <rPr>
        <sz val="10"/>
        <rFont val="Arial"/>
        <family val="0"/>
        <charset val="1"/>
      </rPr>
      <t xml:space="preserve">4/23 12</t>
    </r>
    <r>
      <rPr>
        <sz val="10"/>
        <rFont val="WenQuanYi Zen Hei"/>
        <family val="2"/>
      </rPr>
      <t xml:space="preserve">時</t>
    </r>
  </si>
  <si>
    <t xml:space="preserve">YouTube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</si>
  <si>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プレミア公開（</t>
    </r>
    <r>
      <rPr>
        <sz val="10"/>
        <rFont val="Arial"/>
        <family val="0"/>
        <charset val="1"/>
      </rPr>
      <t xml:space="preserve">Nina McNeely</t>
    </r>
    <r>
      <rPr>
        <sz val="10"/>
        <rFont val="WenQuanYi Zen Hei"/>
        <family val="2"/>
      </rPr>
      <t xml:space="preserve">監督）</t>
    </r>
  </si>
  <si>
    <r>
      <rPr>
        <sz val="10"/>
        <rFont val="Arial"/>
        <family val="0"/>
        <charset val="1"/>
      </rPr>
      <t xml:space="preserve">SNS</t>
    </r>
    <r>
      <rPr>
        <sz val="10"/>
        <rFont val="WenQuanYi Zen Hei"/>
        <family val="2"/>
      </rPr>
      <t xml:space="preserve">で困惑と絶賛が二分し話題化</t>
    </r>
  </si>
  <si>
    <t xml:space="preserve">3/28</t>
  </si>
  <si>
    <t xml:space="preserve">ドームツアー最終公演で新曲と月9ドラマ主題歌決定を発表</t>
  </si>
  <si>
    <t xml:space="preserve">ライブの場で初告知</t>
  </si>
  <si>
    <r>
      <rPr>
        <sz val="10"/>
        <rFont val="Arial"/>
        <family val="0"/>
        <charset val="1"/>
      </rPr>
      <t xml:space="preserve">TOWER RECORDS / OTOTOY / </t>
    </r>
    <r>
      <rPr>
        <sz val="10"/>
        <rFont val="WenQuanYi Zen Hei"/>
        <family val="2"/>
      </rPr>
      <t xml:space="preserve">音楽ナタリー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公式会員サイト</t>
    </r>
  </si>
  <si>
    <t xml:space="preserve">3/30</t>
  </si>
  <si>
    <r>
      <rPr>
        <sz val="10"/>
        <rFont val="Arial"/>
        <family val="0"/>
        <charset val="1"/>
      </rPr>
      <t xml:space="preserve">4/20</t>
    </r>
    <r>
      <rPr>
        <sz val="10"/>
        <rFont val="WenQuanYi Zen Hei"/>
        <family val="2"/>
      </rPr>
      <t xml:space="preserve">配信を発表、同時に前曲「</t>
    </r>
    <r>
      <rPr>
        <sz val="10"/>
        <rFont val="Arial"/>
        <family val="0"/>
        <charset val="1"/>
      </rPr>
      <t xml:space="preserve">The SILENCE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を公開</t>
    </r>
  </si>
  <si>
    <t xml:space="preserve">前作MVで余韻を作りつつ次を告知</t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</si>
  <si>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月〜</t>
    </r>
  </si>
  <si>
    <t xml:space="preserve">TV</t>
  </si>
  <si>
    <t xml:space="preserve">月9『サバ缶、宇宙へ行く』主題歌として毎週オンエア</t>
  </si>
  <si>
    <t xml:space="preserve">タイアップが先行露出の役割</t>
  </si>
  <si>
    <t xml:space="preserve">4/20</t>
  </si>
  <si>
    <t xml:space="preserve">デジタル配信</t>
  </si>
  <si>
    <r>
      <rPr>
        <sz val="10"/>
        <rFont val="Arial"/>
        <family val="0"/>
        <charset val="1"/>
      </rPr>
      <t xml:space="preserve">5/25 22</t>
    </r>
    <r>
      <rPr>
        <sz val="10"/>
        <rFont val="WenQuanYi Zen Hei"/>
        <family val="2"/>
      </rPr>
      <t xml:space="preserve">時</t>
    </r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</si>
  <si>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・公式</t>
    </r>
    <r>
      <rPr>
        <sz val="10"/>
        <rFont val="Arial"/>
        <family val="0"/>
        <charset val="1"/>
      </rPr>
      <t xml:space="preserve">HP/FC</t>
    </r>
  </si>
  <si>
    <r>
      <rPr>
        <sz val="10"/>
        <rFont val="Arial"/>
        <family val="0"/>
        <charset val="1"/>
      </rPr>
      <t xml:space="preserve">Vaundy</t>
    </r>
    <r>
      <rPr>
        <sz val="10"/>
        <rFont val="WenQuanYi Zen Hei"/>
        <family val="2"/>
      </rPr>
      <t xml:space="preserve">自身が監督、出口夏希出演の</t>
    </r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公開</t>
    </r>
  </si>
  <si>
    <t xml:space="preserve">リリース1か月後にMVで第2波</t>
  </si>
  <si>
    <t xml:space="preserve">5/28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</si>
  <si>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メイキングをフジテレビ「</t>
    </r>
    <r>
      <rPr>
        <sz val="10"/>
        <rFont val="Arial"/>
        <family val="0"/>
        <charset val="1"/>
      </rPr>
      <t xml:space="preserve">STAR</t>
    </r>
    <r>
      <rPr>
        <sz val="10"/>
        <rFont val="WenQuanYi Zen Hei"/>
        <family val="2"/>
      </rPr>
      <t xml:space="preserve">」で放送</t>
    </r>
  </si>
  <si>
    <t xml:space="preserve">2025/12/15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</si>
  <si>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（本人）</t>
    </r>
  </si>
  <si>
    <t xml:space="preserve">「ドラマ『再会〜Silent Truth〜』の主題歌を担当させて頂くことになりました！」と本人が報告、楽曲の一部も公開</t>
  </si>
  <si>
    <t xml:space="preserve">本人の言葉で報告</t>
  </si>
  <si>
    <t xml:space="preserve">優里 X / ソニーミュージック / USEN / ENCOUNT</t>
  </si>
  <si>
    <t xml:space="preserve">1/13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</si>
  <si>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staff</t>
    </r>
    <r>
      <rPr>
        <sz val="10"/>
        <rFont val="WenQuanYi Zen Hei"/>
        <family val="2"/>
      </rPr>
      <t xml:space="preserve">）／</t>
    </r>
    <r>
      <rPr>
        <sz val="10"/>
        <rFont val="Arial"/>
        <family val="0"/>
        <charset val="1"/>
      </rPr>
      <t xml:space="preserve">YouTube</t>
    </r>
  </si>
  <si>
    <t xml:space="preserve">ドラマ初回放送日にLyric Music Video（ショートver.）公開＋配信リンク</t>
  </si>
  <si>
    <t xml:space="preserve">放送と同時に短尺で浸透</t>
  </si>
  <si>
    <t xml:space="preserve">1/14</t>
  </si>
  <si>
    <t xml:space="preserve">デジタルリリース（ドラマ初回の翌日）</t>
  </si>
  <si>
    <t xml:space="preserve">放送直後の検索流入を拾う</t>
  </si>
  <si>
    <t xml:space="preserve">4/6</t>
  </si>
  <si>
    <t xml:space="preserve">「CDTVライブ！ライブ！」での歌唱映像を期間限定公開</t>
  </si>
  <si>
    <r>
      <rPr>
        <sz val="10"/>
        <rFont val="Arial"/>
        <family val="0"/>
        <charset val="1"/>
      </rPr>
      <t xml:space="preserve">TV</t>
    </r>
    <r>
      <rPr>
        <sz val="10"/>
        <rFont val="WenQuanYi Zen Hei"/>
        <family val="2"/>
      </rPr>
      <t xml:space="preserve">出演を二次活用</t>
    </r>
  </si>
  <si>
    <t xml:space="preserve">時期要確認</t>
  </si>
  <si>
    <t xml:space="preserve">竹内涼真出演、ナミブ砂漠で撮影した本MVをプレミア公開</t>
  </si>
  <si>
    <t xml:space="preserve">主演俳優起用で話題化</t>
  </si>
  <si>
    <r>
      <rPr>
        <sz val="10"/>
        <rFont val="Arial"/>
        <family val="0"/>
        <charset val="1"/>
      </rPr>
      <t xml:space="preserve">10/4</t>
    </r>
    <r>
      <rPr>
        <sz val="10"/>
        <rFont val="WenQuanYi Zen Hei"/>
        <family val="2"/>
      </rPr>
      <t xml:space="preserve">頃</t>
    </r>
  </si>
  <si>
    <t xml:space="preserve">公式HP・各SNS・YouTube</t>
  </si>
  <si>
    <r>
      <rPr>
        <sz val="10"/>
        <rFont val="Arial"/>
        <family val="0"/>
        <charset val="1"/>
      </rPr>
      <t xml:space="preserve">10/12</t>
    </r>
    <r>
      <rPr>
        <sz val="10"/>
        <rFont val="WenQuanYi Zen Hei"/>
        <family val="2"/>
      </rPr>
      <t xml:space="preserve">配信決定、新アー写・ジャケ写・</t>
    </r>
    <r>
      <rPr>
        <sz val="10"/>
        <rFont val="Arial"/>
        <family val="0"/>
        <charset val="1"/>
      </rPr>
      <t xml:space="preserve">very short movie</t>
    </r>
    <r>
      <rPr>
        <sz val="10"/>
        <rFont val="WenQuanYi Zen Hei"/>
        <family val="2"/>
      </rPr>
      <t xml:space="preserve">（約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分）を一挙公開</t>
    </r>
  </si>
  <si>
    <t xml:space="preserve">ビジュアルを一斉解禁</t>
  </si>
  <si>
    <t xml:space="preserve">あいみょん公式 / Skream! / BARKS</t>
  </si>
  <si>
    <t xml:space="preserve">ドラマ『もうパパ！』放送開始（主題歌）</t>
  </si>
  <si>
    <r>
      <rPr>
        <sz val="10"/>
        <rFont val="Arial"/>
        <family val="0"/>
        <charset val="1"/>
      </rPr>
      <t xml:space="preserve">10/5 0</t>
    </r>
    <r>
      <rPr>
        <sz val="10"/>
        <rFont val="WenQuanYi Zen Hei"/>
        <family val="2"/>
      </rPr>
      <t xml:space="preserve">時</t>
    </r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</si>
  <si>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等</t>
    </r>
    <r>
      <rPr>
        <sz val="10"/>
        <rFont val="Arial"/>
        <family val="0"/>
        <charset val="1"/>
      </rPr>
      <t xml:space="preserve">SNS</t>
    </r>
  </si>
  <si>
    <t xml:space="preserve">一部音源を先行配信（SNSで使える状態に）</t>
  </si>
  <si>
    <r>
      <rPr>
        <sz val="10"/>
        <rFont val="Arial"/>
        <family val="0"/>
        <charset val="1"/>
      </rPr>
      <t xml:space="preserve">UGC</t>
    </r>
    <r>
      <rPr>
        <sz val="10"/>
        <rFont val="WenQuanYi Zen Hei"/>
        <family val="2"/>
      </rPr>
      <t xml:space="preserve">用の先行音源</t>
    </r>
  </si>
  <si>
    <t xml:space="preserve">10/5</t>
  </si>
  <si>
    <t xml:space="preserve">ラジオ</t>
  </si>
  <si>
    <r>
      <rPr>
        <sz val="10"/>
        <rFont val="Arial"/>
        <family val="0"/>
        <charset val="1"/>
      </rPr>
      <t xml:space="preserve">FM802</t>
    </r>
    <r>
      <rPr>
        <sz val="10"/>
        <rFont val="WenQuanYi Zen Hei"/>
        <family val="2"/>
      </rPr>
      <t xml:space="preserve">でフル尺初オンエア</t>
    </r>
  </si>
  <si>
    <t xml:space="preserve">ラジオでフル尺初出し</t>
  </si>
  <si>
    <r>
      <rPr>
        <sz val="10"/>
        <rFont val="Arial"/>
        <family val="0"/>
        <charset val="1"/>
      </rPr>
      <t xml:space="preserve">10/12 0</t>
    </r>
    <r>
      <rPr>
        <sz val="10"/>
        <rFont val="WenQuanYi Zen Hei"/>
        <family val="2"/>
      </rPr>
      <t xml:space="preserve">時</t>
    </r>
  </si>
  <si>
    <t xml:space="preserve">配信・YouTube</t>
  </si>
  <si>
    <t xml:space="preserve">配信開始＋オフィシャルオーディオ公開、各種デジタルキャンペーン開始</t>
  </si>
  <si>
    <r>
      <rPr>
        <sz val="10"/>
        <rFont val="Arial"/>
        <family val="0"/>
        <charset val="1"/>
      </rPr>
      <t xml:space="preserve">2026-09-16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EP</t>
    </r>
    <r>
      <rPr>
        <sz val="10"/>
        <rFont val="WenQuanYi Zen Hei"/>
        <family val="2"/>
      </rPr>
      <t xml:space="preserve">）</t>
    </r>
  </si>
  <si>
    <t xml:space="preserve">コメント</t>
  </si>
  <si>
    <t xml:space="preserve">「素直で優しい歌ができました」とメンバーがコメント</t>
  </si>
  <si>
    <r>
      <rPr>
        <sz val="10"/>
        <rFont val="Arial"/>
        <family val="0"/>
        <charset val="1"/>
      </rPr>
      <t xml:space="preserve">BARKS / USEN / JOYSOUND / </t>
    </r>
    <r>
      <rPr>
        <sz val="10"/>
        <rFont val="WenQuanYi Zen Hei"/>
        <family val="2"/>
      </rPr>
      <t xml:space="preserve">音楽ナタリー </t>
    </r>
    <r>
      <rPr>
        <sz val="10"/>
        <rFont val="Arial"/>
        <family val="0"/>
        <charset val="1"/>
      </rPr>
      <t xml:space="preserve">/ </t>
    </r>
    <r>
      <rPr>
        <sz val="10"/>
        <rFont val="WenQuanYi Zen Hei"/>
        <family val="2"/>
      </rPr>
      <t xml:space="preserve">公式</t>
    </r>
    <r>
      <rPr>
        <sz val="10"/>
        <rFont val="Arial"/>
        <family val="0"/>
        <charset val="1"/>
      </rPr>
      <t xml:space="preserve">X</t>
    </r>
  </si>
  <si>
    <t xml:space="preserve">8/24</t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</si>
  <si>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で一部先行配信＋「</t>
    </r>
    <r>
      <rPr>
        <sz val="10"/>
        <rFont val="Arial"/>
        <family val="0"/>
        <charset val="1"/>
      </rPr>
      <t xml:space="preserve">#</t>
    </r>
    <r>
      <rPr>
        <sz val="10"/>
        <rFont val="WenQuanYi Zen Hei"/>
        <family val="2"/>
      </rPr>
      <t xml:space="preserve">運命さがし」ハッシュタグチャレンジ（曲を使った風景動画を募集、〜</t>
    </r>
    <r>
      <rPr>
        <sz val="10"/>
        <rFont val="Arial"/>
        <family val="0"/>
        <charset val="1"/>
      </rPr>
      <t xml:space="preserve">9/30</t>
    </r>
    <r>
      <rPr>
        <sz val="10"/>
        <rFont val="WenQuanYi Zen Hei"/>
        <family val="2"/>
      </rPr>
      <t xml:space="preserve">）</t>
    </r>
  </si>
  <si>
    <r>
      <rPr>
        <sz val="10"/>
        <rFont val="Arial"/>
        <family val="0"/>
        <charset val="1"/>
      </rPr>
      <t xml:space="preserve">UGC</t>
    </r>
    <r>
      <rPr>
        <sz val="10"/>
        <rFont val="WenQuanYi Zen Hei"/>
        <family val="2"/>
      </rPr>
      <t xml:space="preserve">を企画化</t>
    </r>
  </si>
  <si>
    <r>
      <rPr>
        <sz val="10"/>
        <rFont val="Arial"/>
        <family val="0"/>
        <charset val="1"/>
      </rPr>
      <t xml:space="preserve">8/24</t>
    </r>
    <r>
      <rPr>
        <sz val="10"/>
        <rFont val="WenQuanYi Zen Hei"/>
        <family val="2"/>
      </rPr>
      <t xml:space="preserve">〜</t>
    </r>
    <r>
      <rPr>
        <sz val="10"/>
        <rFont val="Arial"/>
        <family val="0"/>
        <charset val="1"/>
      </rPr>
      <t xml:space="preserve">9/1</t>
    </r>
  </si>
  <si>
    <r>
      <rPr>
        <sz val="10"/>
        <rFont val="Arial"/>
        <family val="0"/>
        <charset val="1"/>
      </rPr>
      <t xml:space="preserve">FM802</t>
    </r>
    <r>
      <rPr>
        <sz val="10"/>
        <rFont val="WenQuanYi Zen Hei"/>
        <family val="2"/>
      </rPr>
      <t xml:space="preserve">で期間限定の独占オンエア</t>
    </r>
  </si>
  <si>
    <t xml:space="preserve">9/16</t>
  </si>
  <si>
    <t xml:space="preserve">配信・THE FIRST TAKE</t>
  </si>
  <si>
    <r>
      <rPr>
        <sz val="10"/>
        <rFont val="Arial"/>
        <family val="0"/>
        <charset val="1"/>
      </rPr>
      <t xml:space="preserve">EP</t>
    </r>
    <r>
      <rPr>
        <sz val="10"/>
        <rFont val="WenQuanYi Zen Hei"/>
        <family val="2"/>
      </rPr>
      <t xml:space="preserve">「運命さがし」「終宵」発売＋</t>
    </r>
    <r>
      <rPr>
        <sz val="10"/>
        <rFont val="Arial"/>
        <family val="0"/>
        <charset val="1"/>
      </rPr>
      <t xml:space="preserve">THE FIRST TAKE</t>
    </r>
    <r>
      <rPr>
        <sz val="10"/>
        <rFont val="WenQuanYi Zen Hei"/>
        <family val="2"/>
      </rPr>
      <t xml:space="preserve">で一発撮り披露</t>
    </r>
  </si>
  <si>
    <t xml:space="preserve">リリース日に話題の場を用意</t>
  </si>
  <si>
    <r>
      <rPr>
        <sz val="10"/>
        <rFont val="Arial"/>
        <family val="0"/>
        <charset val="1"/>
      </rPr>
      <t xml:space="preserve">9/22→9/23 21</t>
    </r>
    <r>
      <rPr>
        <sz val="10"/>
        <rFont val="WenQuanYi Zen Hei"/>
        <family val="2"/>
      </rPr>
      <t xml:space="preserve">時</t>
    </r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</si>
  <si>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HP→YouTube</t>
    </r>
  </si>
  <si>
    <t xml:space="preserve">前日にMVプレミア告知→野村周平・鳴海唯出演のMVをプレミア公開</t>
  </si>
  <si>
    <t xml:space="preserve">リリース1週後にMV</t>
  </si>
  <si>
    <r>
      <rPr>
        <sz val="10"/>
        <rFont val="Arial"/>
        <family val="0"/>
        <charset val="1"/>
      </rPr>
      <t xml:space="preserve">10/3</t>
    </r>
    <r>
      <rPr>
        <sz val="10"/>
        <rFont val="WenQuanYi Zen Hei"/>
        <family val="2"/>
      </rPr>
      <t xml:space="preserve">〜</t>
    </r>
  </si>
  <si>
    <t xml:space="preserve">アリーナツアー「マカロックツアーvol.22」で披露</t>
  </si>
  <si>
    <t xml:space="preserve">リリース施策の実施有無（○=確認できた）</t>
  </si>
  <si>
    <t xml:space="preserve">上記で確認できた範囲での判定。実施数はCOUNTIFで自動集計。</t>
  </si>
  <si>
    <t xml:space="preserve">施策</t>
  </si>
  <si>
    <r>
      <rPr>
        <b val="true"/>
        <sz val="10"/>
        <color rgb="FFFFFFFF"/>
        <rFont val="Arial"/>
        <family val="0"/>
        <charset val="1"/>
      </rPr>
      <t xml:space="preserve">Tani Yuuki
</t>
    </r>
    <r>
      <rPr>
        <b val="true"/>
        <sz val="10"/>
        <color rgb="FFFFFFFF"/>
        <rFont val="WenQuanYi Zen Hei"/>
        <family val="2"/>
      </rPr>
      <t xml:space="preserve">アイノウタ</t>
    </r>
  </si>
  <si>
    <r>
      <rPr>
        <b val="true"/>
        <sz val="10"/>
        <color rgb="FFFFFFFF"/>
        <rFont val="Arial"/>
        <family val="0"/>
        <charset val="1"/>
      </rPr>
      <t xml:space="preserve">Tani Yuuki
</t>
    </r>
    <r>
      <rPr>
        <b val="true"/>
        <sz val="10"/>
        <color rgb="FFFFFFFF"/>
        <rFont val="WenQuanYi Zen Hei"/>
        <family val="2"/>
      </rPr>
      <t xml:space="preserve">エイリアンズ</t>
    </r>
  </si>
  <si>
    <t xml:space="preserve">Mrs. GREEN APPLE
POPS</t>
  </si>
  <si>
    <t xml:space="preserve">藤井風
It's Alright</t>
  </si>
  <si>
    <r>
      <rPr>
        <b val="true"/>
        <sz val="10"/>
        <color rgb="FFFFFFFF"/>
        <rFont val="Arial"/>
        <family val="0"/>
        <charset val="1"/>
      </rPr>
      <t xml:space="preserve">Vaundy
</t>
    </r>
    <r>
      <rPr>
        <b val="true"/>
        <sz val="10"/>
        <color rgb="FFFFFFFF"/>
        <rFont val="WenQuanYi Zen Hei"/>
        <family val="2"/>
      </rPr>
      <t xml:space="preserve">イデアが…</t>
    </r>
  </si>
  <si>
    <t xml:space="preserve">優里
世界が終わりました</t>
  </si>
  <si>
    <t xml:space="preserve">あいみょん
さながらロンリー</t>
  </si>
  <si>
    <t xml:space="preserve">マカロニえんぴつ
運命さがし</t>
  </si>
  <si>
    <t xml:space="preserve">制作過程の共有・ファン参加（タイトル募集等）</t>
  </si>
  <si>
    <t xml:space="preserve">○</t>
  </si>
  <si>
    <t xml:space="preserve">ティザービジュアル（ポスター・KV）</t>
  </si>
  <si>
    <r>
      <rPr>
        <sz val="10"/>
        <rFont val="Arial"/>
        <family val="0"/>
        <charset val="1"/>
      </rPr>
      <t xml:space="preserve">SNS</t>
    </r>
    <r>
      <rPr>
        <sz val="10"/>
        <rFont val="WenQuanYi Zen Hei"/>
        <family val="2"/>
      </rPr>
      <t xml:space="preserve">用 短尺音源の先行解禁（</t>
    </r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等）</t>
    </r>
  </si>
  <si>
    <t xml:space="preserve">ハッシュタグチャレンジ／UGC企画</t>
  </si>
  <si>
    <t xml:space="preserve">ラジオ初オンエア</t>
  </si>
  <si>
    <t xml:space="preserve">ライブで初披露・初告知</t>
  </si>
  <si>
    <t xml:space="preserve">タイアップ（ドラマ・CM・大会）</t>
  </si>
  <si>
    <t xml:space="preserve">配信予約（Pre-save／Pre-add）導線</t>
  </si>
  <si>
    <t xml:space="preserve">特設サイト・専用アカウント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</si>
  <si>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プレミア公開</t>
    </r>
  </si>
  <si>
    <t xml:space="preserve">リリース後のMV（第2波）</t>
  </si>
  <si>
    <t xml:space="preserve">リリース後の派生コンテンツ（カバー・ライブ映像・TV映像等）</t>
  </si>
  <si>
    <t xml:space="preserve">実施数</t>
  </si>
  <si>
    <t xml:space="preserve">【Tani Yuukiへの示唆】</t>
  </si>
  <si>
    <t xml:space="preserve">・ファン参加型（タイトル募集）はTaniだけの強み。継続しつつ、他組が使う「SNS用短尺音源の先行解禁」「ハッシュタグチャレンジ」を組み合わせるとUGC化しやすい。</t>
  </si>
  <si>
    <t xml:space="preserve">・Mrs.／藤井風のようなティザービジュアル（ポスター・KV）や、マカロニ／あいみょんのラジオ初OA→TikTok先行の流れは、EP『SPACE RENDEZVOUS』の“宇宙”コンセプトと相性が良い。</t>
  </si>
  <si>
    <t xml:space="preserve">・他組はリリース後にMVや深掘りコンテンツで“第2波”を作っている。EP発売後もMV・ライブ映像・制作裏話を計画的に出すと露出が続く。</t>
  </si>
  <si>
    <t xml:space="preserve">音楽アーティスト SNSフォロワー数比較（Tani Yuuki基準）</t>
  </si>
  <si>
    <t xml:space="preserve">調査日: 2026-10-13 ／ 数値は公開集計サイト・プロフィール表示からの概数（取得時点は各セルのコメント・「出典」シート参照）。青字=手入力値。空欄=未取得（公式プロフィールで要確認）。</t>
  </si>
  <si>
    <t xml:space="preserve">Instagram</t>
  </si>
  <si>
    <t xml:space="preserve">X</t>
  </si>
  <si>
    <r>
      <rPr>
        <b val="true"/>
        <sz val="10"/>
        <color rgb="FFFFFFFF"/>
        <rFont val="Arial"/>
        <family val="0"/>
        <charset val="1"/>
      </rPr>
      <t xml:space="preserve">YouTube</t>
    </r>
    <r>
      <rPr>
        <b val="true"/>
        <sz val="10"/>
        <color rgb="FFFFFFFF"/>
        <rFont val="WenQuanYi Zen Hei"/>
        <family val="2"/>
      </rPr>
      <t xml:space="preserve">登録者</t>
    </r>
  </si>
  <si>
    <t xml:space="preserve">合計（取得分）</t>
  </si>
  <si>
    <t xml:space="preserve">取得PF数</t>
  </si>
  <si>
    <r>
      <rPr>
        <b val="true"/>
        <sz val="10"/>
        <color rgb="FFFFFFFF"/>
        <rFont val="Arial"/>
        <family val="0"/>
        <charset val="1"/>
      </rPr>
      <t xml:space="preserve">Instagram
Tani</t>
    </r>
    <r>
      <rPr>
        <b val="true"/>
        <sz val="10"/>
        <color rgb="FFFFFFFF"/>
        <rFont val="WenQuanYi Zen Hei"/>
        <family val="2"/>
      </rPr>
      <t xml:space="preserve">比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倍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</si>
  <si>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X
Tani</t>
    </r>
    <r>
      <rPr>
        <b val="true"/>
        <sz val="10"/>
        <color rgb="FFFFFFFF"/>
        <rFont val="WenQuanYi Zen Hei"/>
        <family val="2"/>
      </rPr>
      <t xml:space="preserve">比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倍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</si>
  <si>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TikTok
Tani</t>
    </r>
    <r>
      <rPr>
        <b val="true"/>
        <sz val="10"/>
        <color rgb="FFFFFFFF"/>
        <rFont val="WenQuanYi Zen Hei"/>
        <family val="2"/>
      </rPr>
      <t xml:space="preserve">比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倍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</si>
  <si>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YouTube
Tani</t>
    </r>
    <r>
      <rPr>
        <b val="true"/>
        <sz val="10"/>
        <color rgb="FFFFFFFF"/>
        <rFont val="WenQuanYi Zen Hei"/>
        <family val="2"/>
      </rPr>
      <t xml:space="preserve">比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倍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</si>
  <si>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合計
Tani比(倍)</t>
  </si>
  <si>
    <t xml:space="preserve">比較6組 平均（取得分）</t>
  </si>
  <si>
    <r>
      <rPr>
        <b val="true"/>
        <sz val="10"/>
        <rFont val="Arial"/>
        <family val="0"/>
        <charset val="1"/>
      </rPr>
      <t xml:space="preserve">Tani Yuuki</t>
    </r>
    <r>
      <rPr>
        <b val="true"/>
        <sz val="10"/>
        <rFont val="WenQuanYi Zen Hei"/>
        <family val="2"/>
      </rPr>
      <t xml:space="preserve">の順位（</t>
    </r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WenQuanYi Zen Hei"/>
        <family val="2"/>
      </rPr>
      <t xml:space="preserve">組中）</t>
    </r>
  </si>
  <si>
    <t xml:space="preserve">【読み方】</t>
  </si>
  <si>
    <t xml:space="preserve">・「Tani比」は各アーティストのフォロワー数 ÷ Tani Yuukiのフォロワー数。例：5.0x = Taniの5倍。</t>
  </si>
  <si>
    <t xml:space="preserve">・合計は取得できたプラットフォームのみの単純合計。未取得が多いアーティスト（あいみょん等）は過小になる点に注意。</t>
  </si>
  <si>
    <t xml:space="preserve">・数値は集計時点がバラバラ（2024年〜2026年10月）。正式資料にする際は各公式プロフィールで同日に再取得を推奨。</t>
  </si>
  <si>
    <t xml:space="preserve">・各数値セルにマウスを乗せると取得元・時点のコメントが表示されます。</t>
  </si>
  <si>
    <t xml:space="preserve">最近のSNS投稿・発信トピック（2026年6月〜10月中心）</t>
  </si>
  <si>
    <r>
      <rPr>
        <i val="true"/>
        <sz val="9"/>
        <color rgb="FF595959"/>
        <rFont val="Arial"/>
        <family val="0"/>
        <charset val="1"/>
      </rPr>
      <t xml:space="preserve">Web</t>
    </r>
    <r>
      <rPr>
        <i val="true"/>
        <sz val="9"/>
        <color rgb="FF595959"/>
        <rFont val="WenQuanYi Zen Hei"/>
        <family val="2"/>
      </rPr>
      <t xml:space="preserve">上で確認できた投稿・告知・報道ベース。各</t>
    </r>
    <r>
      <rPr>
        <i val="true"/>
        <sz val="9"/>
        <color rgb="FF595959"/>
        <rFont val="Arial"/>
        <family val="0"/>
        <charset val="1"/>
      </rPr>
      <t xml:space="preserve">SNS</t>
    </r>
    <r>
      <rPr>
        <i val="true"/>
        <sz val="9"/>
        <color rgb="FF595959"/>
        <rFont val="WenQuanYi Zen Hei"/>
        <family val="2"/>
      </rPr>
      <t xml:space="preserve">のタイムライン全件を閲覧したものではありません。</t>
    </r>
  </si>
  <si>
    <t xml:space="preserve">日付（2026年）</t>
  </si>
  <si>
    <t xml:space="preserve">投稿の種類</t>
  </si>
  <si>
    <t xml:space="preserve">備考・反響</t>
  </si>
  <si>
    <t xml:space="preserve">制作中の新曲を一部公開し「タイトル案たくさんありがとね！まだまだあったら教えて」とファンにタイトル案を募集</t>
  </si>
  <si>
    <t xml:space="preserve">制作過程の共有／ファン参加型</t>
  </si>
  <si>
    <t xml:space="preserve">ファンとの共創型コミュニケーション</t>
  </si>
  <si>
    <t xml:space="preserve">TikTok / YouTube Shorts</t>
  </si>
  <si>
    <r>
      <rPr>
        <sz val="10"/>
        <rFont val="Arial"/>
        <family val="0"/>
        <charset val="1"/>
      </rPr>
      <t xml:space="preserve">6</t>
    </r>
    <r>
      <rPr>
        <sz val="10"/>
        <rFont val="WenQuanYi Zen Hei"/>
        <family val="2"/>
      </rPr>
      <t xml:space="preserve">月</t>
    </r>
  </si>
  <si>
    <t xml:space="preserve">新曲「アイノウタ」6/19 0時リリース告知動画（#アイノウタ #TaniYuuki #新曲）</t>
  </si>
  <si>
    <t xml:space="preserve">リリース告知</t>
  </si>
  <si>
    <t xml:space="preserve">告知投稿で約3.8万いいね・758コメントの例あり。ツアー大阪公演（6/10）で初披露</t>
  </si>
  <si>
    <r>
      <rPr>
        <sz val="10"/>
        <rFont val="Arial"/>
        <family val="0"/>
        <charset val="1"/>
      </rPr>
      <t xml:space="preserve">YouTube / </t>
    </r>
    <r>
      <rPr>
        <sz val="10"/>
        <rFont val="WenQuanYi Zen Hei"/>
        <family val="2"/>
      </rPr>
      <t xml:space="preserve">各</t>
    </r>
    <r>
      <rPr>
        <sz val="10"/>
        <rFont val="Arial"/>
        <family val="0"/>
        <charset val="1"/>
      </rPr>
      <t xml:space="preserve">SNS</t>
    </r>
  </si>
  <si>
    <t xml:space="preserve">新曲「エイリアンズ」デジタル配信＆MV公開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</si>
  <si>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公開／リリース</t>
    </r>
  </si>
  <si>
    <r>
      <rPr>
        <sz val="10"/>
        <rFont val="Arial"/>
        <family val="0"/>
        <charset val="1"/>
      </rPr>
      <t xml:space="preserve">SNS</t>
    </r>
    <r>
      <rPr>
        <sz val="10"/>
        <rFont val="WenQuanYi Zen Hei"/>
        <family val="2"/>
      </rPr>
      <t xml:space="preserve">で「明るくアップテンポ」「転調が良い」と好評（</t>
    </r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リアルタイムまとめ）</t>
    </r>
  </si>
  <si>
    <t xml:space="preserve">夏〜秋</t>
  </si>
  <si>
    <t xml:space="preserve">松江水郷祭などフェス出演後の御礼ライブ動画（#WXY #ライブ）</t>
  </si>
  <si>
    <t xml:space="preserve">ライブ映像／御礼</t>
  </si>
  <si>
    <r>
      <rPr>
        <sz val="10"/>
        <rFont val="Arial"/>
        <family val="0"/>
        <charset val="1"/>
      </rPr>
      <t xml:space="preserve">KOBE AUTUMN FES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CARAVAN MUSIC FES</t>
    </r>
    <r>
      <rPr>
        <sz val="10"/>
        <rFont val="WenQuanYi Zen Hei"/>
        <family val="2"/>
      </rPr>
      <t xml:space="preserve">、</t>
    </r>
    <r>
      <rPr>
        <sz val="10"/>
        <rFont val="Arial"/>
        <family val="0"/>
        <charset val="1"/>
      </rPr>
      <t xml:space="preserve">ASUTO MUSIC PARK</t>
    </r>
    <r>
      <rPr>
        <sz val="10"/>
        <rFont val="WenQuanYi Zen Hei"/>
        <family val="2"/>
      </rPr>
      <t xml:space="preserve">などにも出演</t>
    </r>
  </si>
  <si>
    <t xml:space="preserve">オフィシャルHP / FC</t>
  </si>
  <si>
    <r>
      <rPr>
        <sz val="10"/>
        <rFont val="Arial"/>
        <family val="0"/>
        <charset val="1"/>
      </rPr>
      <t xml:space="preserve">EP</t>
    </r>
    <r>
      <rPr>
        <sz val="10"/>
        <rFont val="WenQuanYi Zen Hei"/>
        <family val="2"/>
      </rPr>
      <t xml:space="preserve">『</t>
    </r>
    <r>
      <rPr>
        <sz val="10"/>
        <rFont val="Arial"/>
        <family val="0"/>
        <charset val="1"/>
      </rPr>
      <t xml:space="preserve">SPACE RENDEZVOUS</t>
    </r>
    <r>
      <rPr>
        <sz val="10"/>
        <rFont val="WenQuanYi Zen Hei"/>
        <family val="2"/>
      </rPr>
      <t xml:space="preserve">』リリース、</t>
    </r>
    <r>
      <rPr>
        <sz val="10"/>
        <rFont val="Arial"/>
        <family val="0"/>
        <charset val="1"/>
      </rPr>
      <t xml:space="preserve">Live Tour 26-27</t>
    </r>
    <r>
      <rPr>
        <sz val="10"/>
        <rFont val="WenQuanYi Zen Hei"/>
        <family val="2"/>
      </rPr>
      <t xml:space="preserve">（</t>
    </r>
    <r>
      <rPr>
        <sz val="10"/>
        <rFont val="Arial"/>
        <family val="0"/>
        <charset val="1"/>
      </rPr>
      <t xml:space="preserve">11/7</t>
    </r>
    <r>
      <rPr>
        <sz val="10"/>
        <rFont val="WenQuanYi Zen Hei"/>
        <family val="2"/>
      </rPr>
      <t xml:space="preserve">愛知、</t>
    </r>
    <r>
      <rPr>
        <sz val="10"/>
        <rFont val="Arial"/>
        <family val="0"/>
        <charset val="1"/>
      </rPr>
      <t xml:space="preserve">11/23</t>
    </r>
    <r>
      <rPr>
        <sz val="10"/>
        <rFont val="WenQuanYi Zen Hei"/>
        <family val="2"/>
      </rPr>
      <t xml:space="preserve">新潟、</t>
    </r>
    <r>
      <rPr>
        <sz val="10"/>
        <rFont val="Arial"/>
        <family val="0"/>
        <charset val="1"/>
      </rPr>
      <t xml:space="preserve">11/28</t>
    </r>
    <r>
      <rPr>
        <sz val="10"/>
        <rFont val="WenQuanYi Zen Hei"/>
        <family val="2"/>
      </rPr>
      <t xml:space="preserve">香川 ほか）</t>
    </r>
  </si>
  <si>
    <t xml:space="preserve">作品・ツアー情報</t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</si>
  <si>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「谷乃湯」／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公式（友だち約</t>
    </r>
    <r>
      <rPr>
        <sz val="10"/>
        <rFont val="Arial"/>
        <family val="0"/>
        <charset val="1"/>
      </rPr>
      <t xml:space="preserve">2.9</t>
    </r>
    <r>
      <rPr>
        <sz val="10"/>
        <rFont val="WenQuanYi Zen Hei"/>
        <family val="2"/>
      </rPr>
      <t xml:space="preserve">万）でも告知</t>
    </r>
  </si>
  <si>
    <r>
      <rPr>
        <sz val="10"/>
        <rFont val="Arial"/>
        <family val="0"/>
        <charset val="1"/>
      </rPr>
      <t xml:space="preserve">X / Instagram</t>
    </r>
    <r>
      <rPr>
        <sz val="10"/>
        <rFont val="WenQuanYi Zen Hei"/>
        <family val="2"/>
      </rPr>
      <t xml:space="preserve">（鍵アカ）</t>
    </r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</si>
  <si>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</t>
    </r>
  </si>
  <si>
    <t xml:space="preserve">アルバム『POPS』発売前、SNSの鍵アカウントで連日ポスターを発信</t>
  </si>
  <si>
    <t xml:space="preserve">ティザー／仕掛け型</t>
  </si>
  <si>
    <t xml:space="preserve">ファンの考察・拡散を誘発する演出</t>
  </si>
  <si>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月末</t>
    </r>
  </si>
  <si>
    <t xml:space="preserve">『POPS』発売に合わせ、日本アーティスト初のTikTokグローバル・キャンペーン実施</t>
  </si>
  <si>
    <t xml:space="preserve">キャンペーン</t>
  </si>
  <si>
    <t xml:space="preserve">海外リーチも意識した展開</t>
  </si>
  <si>
    <t xml:space="preserve">10/3</t>
  </si>
  <si>
    <t xml:space="preserve">「共犯」MVをプレミア公開（20時）＋『POPS』全16曲ポスタートレーラー公開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</si>
  <si>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／トレーラー</t>
    </r>
  </si>
  <si>
    <t xml:space="preserve">公開前日にXで日時告知→プレミア公開で同時視聴を演出</t>
  </si>
  <si>
    <t xml:space="preserve">その他（Spotify）</t>
  </si>
  <si>
    <r>
      <rPr>
        <sz val="10"/>
        <rFont val="Arial"/>
        <family val="0"/>
        <charset val="1"/>
      </rPr>
      <t xml:space="preserve">Spotify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Liner Voice+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300</t>
    </r>
    <r>
      <rPr>
        <sz val="10"/>
        <rFont val="WenQuanYi Zen Hei"/>
        <family val="2"/>
      </rPr>
      <t xml:space="preserve">人限定公開収録</t>
    </r>
  </si>
  <si>
    <t xml:space="preserve">イベント／音声コンテンツ</t>
  </si>
  <si>
    <t xml:space="preserve">楽曲制作背景を本人が語る</t>
  </si>
  <si>
    <t xml:space="preserve">5/20</t>
  </si>
  <si>
    <t xml:space="preserve">「#青りんごの日」初ライブ13周年の報告投稿</t>
  </si>
  <si>
    <t xml:space="preserve">記念日投稿</t>
  </si>
  <si>
    <t xml:space="preserve">恒例の記念日ハッシュタグで祝福が集まる</t>
  </si>
  <si>
    <r>
      <rPr>
        <sz val="10"/>
        <rFont val="Arial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</si>
  <si>
    <t xml:space="preserve">アジアツアー合間の上海散歩などプライベートショット</t>
  </si>
  <si>
    <t xml:space="preserve">オフショット／日常</t>
  </si>
  <si>
    <t xml:space="preserve">笑顔のプライベート写真が報道される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</si>
  <si>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（スタッフ）</t>
    </r>
  </si>
  <si>
    <t xml:space="preserve">ツアー・出演告知。本人Xは2022年に全削除済み、スタッフアカウントが公式発信</t>
  </si>
  <si>
    <t xml:space="preserve">告知中心</t>
  </si>
  <si>
    <r>
      <rPr>
        <sz val="10"/>
        <rFont val="Arial"/>
        <family val="0"/>
        <charset val="1"/>
      </rPr>
      <t xml:space="preserve">SNS</t>
    </r>
    <r>
      <rPr>
        <sz val="10"/>
        <rFont val="WenQuanYi Zen Hei"/>
        <family val="2"/>
      </rPr>
      <t xml:space="preserve">の切り抜きについて本人がファンに呼びかけ（モデルプレス報道）</t>
    </r>
  </si>
  <si>
    <t xml:space="preserve">ライブ／各SNS</t>
  </si>
  <si>
    <t xml:space="preserve">7/25</t>
  </si>
  <si>
    <t xml:space="preserve">フジロック2026出演、Pre: Prema Tour（7月〜）</t>
  </si>
  <si>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リアルタイムでバズ</t>
    </r>
  </si>
  <si>
    <t xml:space="preserve">オフィシャルHP</t>
  </si>
  <si>
    <r>
      <rPr>
        <sz val="10"/>
        <rFont val="Arial"/>
        <family val="0"/>
        <charset val="1"/>
      </rPr>
      <t xml:space="preserve">10/31</t>
    </r>
    <r>
      <rPr>
        <sz val="10"/>
        <rFont val="WenQuanYi Zen Hei"/>
        <family val="2"/>
      </rPr>
      <t xml:space="preserve">〜</t>
    </r>
  </si>
  <si>
    <r>
      <rPr>
        <sz val="10"/>
        <rFont val="Arial"/>
        <family val="0"/>
        <charset val="1"/>
      </rPr>
      <t xml:space="preserve">Prema World Tour</t>
    </r>
    <r>
      <rPr>
        <sz val="10"/>
        <rFont val="WenQuanYi Zen Hei"/>
        <family val="2"/>
      </rPr>
      <t xml:space="preserve">開幕（台湾・高雄）、</t>
    </r>
    <r>
      <rPr>
        <sz val="10"/>
        <rFont val="Arial"/>
        <family val="0"/>
        <charset val="1"/>
      </rPr>
      <t xml:space="preserve">11</t>
    </r>
    <r>
      <rPr>
        <sz val="10"/>
        <rFont val="WenQuanYi Zen Hei"/>
        <family val="2"/>
      </rPr>
      <t xml:space="preserve">月福岡・</t>
    </r>
    <r>
      <rPr>
        <sz val="10"/>
        <rFont val="Arial"/>
        <family val="0"/>
        <charset val="1"/>
      </rPr>
      <t xml:space="preserve">12</t>
    </r>
    <r>
      <rPr>
        <sz val="10"/>
        <rFont val="WenQuanYi Zen Hei"/>
        <family val="2"/>
      </rPr>
      <t xml:space="preserve">月大阪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東京ドーム、</t>
    </r>
    <r>
      <rPr>
        <sz val="10"/>
        <rFont val="Arial"/>
        <family val="0"/>
        <charset val="1"/>
      </rPr>
      <t xml:space="preserve">2027</t>
    </r>
    <r>
      <rPr>
        <sz val="10"/>
        <rFont val="WenQuanYi Zen Hei"/>
        <family val="2"/>
      </rPr>
      <t xml:space="preserve">年夏 欧州・北米</t>
    </r>
  </si>
  <si>
    <t xml:space="preserve">ツアー告知</t>
  </si>
  <si>
    <r>
      <rPr>
        <sz val="10"/>
        <rFont val="Arial"/>
        <family val="0"/>
        <charset val="1"/>
      </rPr>
      <t xml:space="preserve">3</t>
    </r>
    <r>
      <rPr>
        <sz val="10"/>
        <rFont val="WenQuanYi Zen Hei"/>
        <family val="2"/>
      </rPr>
      <t xml:space="preserve">月に新曲「</t>
    </r>
    <r>
      <rPr>
        <sz val="10"/>
        <rFont val="Arial"/>
        <family val="0"/>
        <charset val="1"/>
      </rPr>
      <t xml:space="preserve">My Place</t>
    </r>
    <r>
      <rPr>
        <sz val="10"/>
        <rFont val="WenQuanYi Zen Hei"/>
        <family val="2"/>
      </rPr>
      <t xml:space="preserve">」</t>
    </r>
  </si>
  <si>
    <r>
      <rPr>
        <sz val="10"/>
        <rFont val="Arial"/>
        <family val="0"/>
        <charset val="1"/>
      </rPr>
      <t xml:space="preserve">26</t>
    </r>
    <r>
      <rPr>
        <sz val="10"/>
        <rFont val="WenQuanYi Zen Hei"/>
        <family val="2"/>
      </rPr>
      <t xml:space="preserve">歳の誕生日にファンのイラスト・グッズ祝福が</t>
    </r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トレンド入り</t>
    </r>
  </si>
  <si>
    <t xml:space="preserve">ファン発信（UGC）</t>
  </si>
  <si>
    <t xml:space="preserve">本人発信より周辺の盛り上がりが大きい</t>
  </si>
  <si>
    <t xml:space="preserve">各SNS／HP</t>
  </si>
  <si>
    <r>
      <rPr>
        <sz val="10"/>
        <rFont val="Arial"/>
        <family val="0"/>
        <charset val="1"/>
      </rPr>
      <t xml:space="preserve">3/28</t>
    </r>
    <r>
      <rPr>
        <sz val="10"/>
        <rFont val="WenQuanYi Zen Hei"/>
        <family val="2"/>
      </rPr>
      <t xml:space="preserve">〜</t>
    </r>
  </si>
  <si>
    <r>
      <rPr>
        <sz val="10"/>
        <rFont val="Arial"/>
        <family val="0"/>
        <charset val="1"/>
      </rPr>
      <t xml:space="preserve">DOME TOUR 2026 "SILENCE" </t>
    </r>
    <r>
      <rPr>
        <sz val="10"/>
        <rFont val="WenQuanYi Zen Hei"/>
        <family val="2"/>
      </rPr>
      <t xml:space="preserve">完走（約</t>
    </r>
    <r>
      <rPr>
        <sz val="10"/>
        <rFont val="Arial"/>
        <family val="0"/>
        <charset val="1"/>
      </rPr>
      <t xml:space="preserve">35</t>
    </r>
    <r>
      <rPr>
        <sz val="10"/>
        <rFont val="WenQuanYi Zen Hei"/>
        <family val="2"/>
      </rPr>
      <t xml:space="preserve">万人）、新曲「イデアが溢れて眠れない」月</t>
    </r>
    <r>
      <rPr>
        <sz val="10"/>
        <rFont val="Arial"/>
        <family val="0"/>
        <charset val="1"/>
      </rPr>
      <t xml:space="preserve">9</t>
    </r>
    <r>
      <rPr>
        <sz val="10"/>
        <rFont val="WenQuanYi Zen Hei"/>
        <family val="2"/>
      </rPr>
      <t xml:space="preserve">主題歌</t>
    </r>
  </si>
  <si>
    <t xml:space="preserve">ライブ・タイアップ告知</t>
  </si>
  <si>
    <t xml:space="preserve">セトリのプレイリスト公開</t>
  </si>
  <si>
    <t xml:space="preserve">秋〜</t>
  </si>
  <si>
    <t xml:space="preserve">初のアジアアリーナツアー（東京・ソウル・香港・福岡・台北・上海）、JAPAN ARENA TOUR 2027-2028</t>
  </si>
  <si>
    <t xml:space="preserve">アートワークは@Vaundy_AWS（ART Work Studio）で発信</t>
  </si>
  <si>
    <t xml:space="preserve">9/5-6</t>
  </si>
  <si>
    <t xml:space="preserve">富士急ハイランド野外ライブ「一富士二鷹三優里」</t>
  </si>
  <si>
    <r>
      <rPr>
        <sz val="10"/>
        <rFont val="Arial"/>
        <family val="0"/>
        <charset val="1"/>
      </rPr>
      <t xml:space="preserve">10/5</t>
    </r>
    <r>
      <rPr>
        <sz val="10"/>
        <rFont val="WenQuanYi Zen Hei"/>
        <family val="2"/>
      </rPr>
      <t xml:space="preserve">〜</t>
    </r>
  </si>
  <si>
    <t xml:space="preserve">ツアー「YUURI ASIA TOUR 2025で行けなくてごめんね2026」香川・愛媛、11/27香港、12/19 Kアリーナ横浜</t>
  </si>
  <si>
    <t xml:space="preserve">ユーモアのあるツアータイトルが特徴</t>
  </si>
  <si>
    <t xml:space="preserve">通年</t>
  </si>
  <si>
    <r>
      <rPr>
        <sz val="10"/>
        <rFont val="Arial"/>
        <family val="0"/>
        <charset val="1"/>
      </rPr>
      <t xml:space="preserve">THE FIRST TAKE</t>
    </r>
    <r>
      <rPr>
        <sz val="10"/>
        <rFont val="WenQuanYi Zen Hei"/>
        <family val="2"/>
      </rPr>
      <t xml:space="preserve">歌唱動画が</t>
    </r>
    <r>
      <rPr>
        <sz val="10"/>
        <rFont val="Arial"/>
        <family val="0"/>
        <charset val="1"/>
      </rPr>
      <t xml:space="preserve">1.32</t>
    </r>
    <r>
      <rPr>
        <sz val="10"/>
        <rFont val="WenQuanYi Zen Hei"/>
        <family val="2"/>
      </rPr>
      <t xml:space="preserve">億回超。ドラマ『再会〜</t>
    </r>
    <r>
      <rPr>
        <sz val="10"/>
        <rFont val="Arial"/>
        <family val="0"/>
        <charset val="1"/>
      </rPr>
      <t xml:space="preserve">Silent Truth</t>
    </r>
    <r>
      <rPr>
        <sz val="10"/>
        <rFont val="WenQuanYi Zen Hei"/>
        <family val="2"/>
      </rPr>
      <t xml:space="preserve">〜』主題歌「世界が終わりました」（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月〜）</t>
    </r>
  </si>
  <si>
    <t xml:space="preserve">パフォーマンス動画</t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</si>
  <si>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とも数十万規模で歌唱動画が強い</t>
    </r>
  </si>
  <si>
    <r>
      <rPr>
        <sz val="10"/>
        <rFont val="Arial"/>
        <family val="0"/>
        <charset val="1"/>
      </rPr>
      <t xml:space="preserve">TikTok LIVE</t>
    </r>
    <r>
      <rPr>
        <sz val="10"/>
        <rFont val="WenQuanYi Zen Hei"/>
        <family val="2"/>
      </rPr>
      <t xml:space="preserve">で『</t>
    </r>
    <r>
      <rPr>
        <sz val="10"/>
        <rFont val="Arial"/>
        <family val="0"/>
        <charset val="1"/>
      </rPr>
      <t xml:space="preserve">AIMYON BUDOKAN -1995-</t>
    </r>
    <r>
      <rPr>
        <sz val="10"/>
        <rFont val="WenQuanYi Zen Hei"/>
        <family val="2"/>
      </rPr>
      <t xml:space="preserve">』映像を生配信（レーベル</t>
    </r>
    <r>
      <rPr>
        <sz val="10"/>
        <rFont val="Arial"/>
        <family val="0"/>
        <charset val="1"/>
      </rPr>
      <t xml:space="preserve">unBORDE</t>
    </r>
    <r>
      <rPr>
        <sz val="10"/>
        <rFont val="WenQuanYi Zen Hei"/>
        <family val="2"/>
      </rPr>
      <t xml:space="preserve">が</t>
    </r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で告知）</t>
    </r>
  </si>
  <si>
    <t xml:space="preserve">ライブ配信</t>
  </si>
  <si>
    <t xml:space="preserve">過去ライブ映像の再活用</t>
  </si>
  <si>
    <t xml:space="preserve">初のベストアルバム『AIMYON BEST ALBUM - 唇を追え！』発売</t>
  </si>
  <si>
    <t xml:space="preserve">11/30-12/1</t>
  </si>
  <si>
    <t xml:space="preserve">メジャーデビュー10周年 日本武道館（初バンド編成）、2027年アリーナツアー14都市36公演</t>
  </si>
  <si>
    <t xml:space="preserve">9/23</t>
  </si>
  <si>
    <t xml:space="preserve">新曲「運命さがし」MVプレミア公開（21時）</t>
  </si>
  <si>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公開</t>
    </r>
  </si>
  <si>
    <t xml:space="preserve">アリーナツアー「マカロックツアーvol.22〜いま、きみがすき！篇〜」（10/3大阪城ホール〜12/26）先行・チケットトレード告知</t>
  </si>
  <si>
    <t xml:space="preserve">チケット告知</t>
  </si>
  <si>
    <t xml:space="preserve">絵文字・罫線を多用した読みやすい告知フォーマット</t>
  </si>
  <si>
    <t xml:space="preserve">その他（FC OKKAKE）</t>
  </si>
  <si>
    <t xml:space="preserve">7/23</t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</si>
  <si>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OKKAKE</t>
    </r>
    <r>
      <rPr>
        <sz val="10"/>
        <rFont val="WenQuanYi Zen Hei"/>
        <family val="2"/>
      </rPr>
      <t xml:space="preserve">」</t>
    </r>
    <r>
      <rPr>
        <sz val="10"/>
        <rFont val="Arial"/>
        <family val="0"/>
        <charset val="1"/>
      </rPr>
      <t xml:space="preserve">5</t>
    </r>
    <r>
      <rPr>
        <sz val="10"/>
        <rFont val="WenQuanYi Zen Hei"/>
        <family val="2"/>
      </rPr>
      <t xml:space="preserve">周年 新宿</t>
    </r>
    <r>
      <rPr>
        <sz val="10"/>
        <rFont val="Arial"/>
        <family val="0"/>
        <charset val="1"/>
      </rPr>
      <t xml:space="preserve">LOFT</t>
    </r>
    <r>
      <rPr>
        <sz val="10"/>
        <rFont val="WenQuanYi Zen Hei"/>
        <family val="2"/>
      </rPr>
      <t xml:space="preserve">会員限定ワンマン</t>
    </r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</si>
  <si>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施策</t>
    </r>
  </si>
  <si>
    <t xml:space="preserve">ライブハウス回帰でコアファン向け</t>
  </si>
  <si>
    <t xml:space="preserve">公式アカウント・発信チャネル一覧</t>
  </si>
  <si>
    <t xml:space="preserve">※「要確認」はWeb検索でハンドルを確証できなかったもの。</t>
  </si>
  <si>
    <t xml:space="preserve">ブログ</t>
  </si>
  <si>
    <t xml:space="preserve">その他（FC・LINE・アプリ等）</t>
  </si>
  <si>
    <t xml:space="preserve">@u_yuuki_u</t>
  </si>
  <si>
    <t xml:space="preserve">@yu___09___11</t>
  </si>
  <si>
    <t xml:space="preserve">@TaniYuuki</t>
  </si>
  <si>
    <t xml:space="preserve">taniyuuki.com</t>
  </si>
  <si>
    <t xml:space="preserve">公式ブログ確認できず</t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</si>
  <si>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「谷乃湯 〜たにのゆ〜」、</t>
    </r>
    <r>
      <rPr>
        <sz val="10"/>
        <rFont val="Arial"/>
        <family val="0"/>
        <charset val="1"/>
      </rPr>
      <t xml:space="preserve">LINE</t>
    </r>
    <r>
      <rPr>
        <sz val="10"/>
        <rFont val="WenQuanYi Zen Hei"/>
        <family val="2"/>
      </rPr>
      <t xml:space="preserve">公式（友だち約</t>
    </r>
    <r>
      <rPr>
        <sz val="10"/>
        <rFont val="Arial"/>
        <family val="0"/>
        <charset val="1"/>
      </rPr>
      <t xml:space="preserve">2.9</t>
    </r>
    <r>
      <rPr>
        <sz val="10"/>
        <rFont val="WenQuanYi Zen Hei"/>
        <family val="2"/>
      </rPr>
      <t xml:space="preserve">万）</t>
    </r>
  </si>
  <si>
    <t xml:space="preserve">公式アカウント＋メンバー個人IG（2022年〜）</t>
  </si>
  <si>
    <t xml:space="preserve">公式X（ハンドル要確認）</t>
  </si>
  <si>
    <t xml:space="preserve">@mga_band_official</t>
  </si>
  <si>
    <t xml:space="preserve">公式チャンネル（674万）</t>
  </si>
  <si>
    <r>
      <rPr>
        <sz val="10"/>
        <rFont val="Arial"/>
        <family val="0"/>
        <charset val="1"/>
      </rPr>
      <t xml:space="preserve">mrsgreenapple.com</t>
    </r>
    <r>
      <rPr>
        <sz val="10"/>
        <rFont val="WenQuanYi Zen Hei"/>
        <family val="2"/>
      </rPr>
      <t xml:space="preserve">（要確認）</t>
    </r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</si>
  <si>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Ringo Jam</t>
    </r>
    <r>
      <rPr>
        <sz val="10"/>
        <rFont val="WenQuanYi Zen Hei"/>
        <family val="2"/>
      </rPr>
      <t xml:space="preserve">」、</t>
    </r>
    <r>
      <rPr>
        <sz val="10"/>
        <rFont val="Arial"/>
        <family val="0"/>
        <charset val="1"/>
      </rPr>
      <t xml:space="preserve">Spotify</t>
    </r>
    <r>
      <rPr>
        <sz val="10"/>
        <rFont val="WenQuanYi Zen Hei"/>
        <family val="2"/>
      </rPr>
      <t xml:space="preserve">施策、鍵アカウント演出</t>
    </r>
  </si>
  <si>
    <t xml:space="preserve">@fujiikaze</t>
  </si>
  <si>
    <r>
      <rPr>
        <sz val="10"/>
        <rFont val="Arial"/>
        <family val="0"/>
        <charset val="1"/>
      </rPr>
      <t xml:space="preserve">@fujiikazestaff</t>
    </r>
    <r>
      <rPr>
        <sz val="10"/>
        <rFont val="WenQuanYi Zen Hei"/>
        <family val="2"/>
      </rPr>
      <t xml:space="preserve">（スタッフ）</t>
    </r>
  </si>
  <si>
    <t xml:space="preserve">@fujiikaze1997</t>
  </si>
  <si>
    <t xml:space="preserve">Fujii Kaze</t>
  </si>
  <si>
    <r>
      <rPr>
        <sz val="10"/>
        <rFont val="Arial"/>
        <family val="0"/>
        <charset val="1"/>
      </rPr>
      <t xml:space="preserve">fujiikaze.com</t>
    </r>
    <r>
      <rPr>
        <sz val="10"/>
        <rFont val="WenQuanYi Zen Hei"/>
        <family val="2"/>
      </rPr>
      <t xml:space="preserve">（要確認）</t>
    </r>
  </si>
  <si>
    <t xml:space="preserve">@vaundy_engawa / @vaundy_aws</t>
  </si>
  <si>
    <t xml:space="preserve">公式X（ハンドル要確認）／@Vaundy_AWS</t>
  </si>
  <si>
    <t xml:space="preserve">@vaundy_artworkstudio</t>
  </si>
  <si>
    <t xml:space="preserve">@Vaundy</t>
  </si>
  <si>
    <t xml:space="preserve">vaundy.jp</t>
  </si>
  <si>
    <t xml:space="preserve">公式アプリ・FC（member.vaundy.jp）</t>
  </si>
  <si>
    <t xml:space="preserve">公式（ハンドル要確認）</t>
  </si>
  <si>
    <t xml:space="preserve">@yuuri_official</t>
  </si>
  <si>
    <t xml:space="preserve">@yuuri_music_official</t>
  </si>
  <si>
    <t xml:space="preserve">優里チャンネル</t>
  </si>
  <si>
    <t xml:space="preserve">yuuriweb.com</t>
  </si>
  <si>
    <t xml:space="preserve">@aimyon36</t>
  </si>
  <si>
    <t xml:space="preserve">@aimyonGtter</t>
  </si>
  <si>
    <t xml:space="preserve">@aimyon_official</t>
  </si>
  <si>
    <t xml:space="preserve">あいみょん公式</t>
  </si>
  <si>
    <r>
      <rPr>
        <sz val="10"/>
        <rFont val="Arial"/>
        <family val="0"/>
        <charset val="1"/>
      </rPr>
      <t xml:space="preserve">aimyon.jp</t>
    </r>
    <r>
      <rPr>
        <sz val="10"/>
        <rFont val="WenQuanYi Zen Hei"/>
        <family val="2"/>
      </rPr>
      <t xml:space="preserve">（要確認）</t>
    </r>
  </si>
  <si>
    <t xml:space="preserve">レーベルunBORDEのXでも告知</t>
  </si>
  <si>
    <t xml:space="preserve">@macaroniempitsu_official</t>
  </si>
  <si>
    <t xml:space="preserve">@macarock0616</t>
  </si>
  <si>
    <t xml:space="preserve">@macaroniempitsu</t>
  </si>
  <si>
    <t xml:space="preserve">公式マカロニえんぴつ</t>
  </si>
  <si>
    <t xml:space="preserve">macaroniempitsu.com</t>
  </si>
  <si>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OKKAKE</t>
    </r>
    <r>
      <rPr>
        <sz val="10"/>
        <rFont val="WenQuanYi Zen Hei"/>
        <family val="2"/>
      </rPr>
      <t xml:space="preserve">」</t>
    </r>
  </si>
  <si>
    <t xml:space="preserve">発信スタイル比較（定性評価）</t>
  </si>
  <si>
    <t xml:space="preserve">上記の確認できた投稿・報道からの調査者による定性まとめ。</t>
  </si>
  <si>
    <t xml:space="preserve">主力プラットフォーム</t>
  </si>
  <si>
    <t xml:space="preserve">発信の特徴</t>
  </si>
  <si>
    <t xml:space="preserve">強み</t>
  </si>
  <si>
    <r>
      <rPr>
        <b val="true"/>
        <sz val="10"/>
        <color rgb="FFFFFFFF"/>
        <rFont val="Arial"/>
        <family val="0"/>
        <charset val="1"/>
      </rPr>
      <t xml:space="preserve">Tani Yuuki</t>
    </r>
    <r>
      <rPr>
        <b val="true"/>
        <sz val="10"/>
        <color rgb="FFFFFFFF"/>
        <rFont val="WenQuanYi Zen Hei"/>
        <family val="2"/>
      </rPr>
      <t xml:space="preserve">が参考にできる点</t>
    </r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</si>
  <si>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YouTube</t>
    </r>
  </si>
  <si>
    <t xml:space="preserve">制作途中の曲チラ見せ、タイトル案募集などファン参加型。リリース告知・フェス御礼動画</t>
  </si>
  <si>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発のブレイク実績（</t>
    </r>
    <r>
      <rPr>
        <sz val="10"/>
        <rFont val="Arial"/>
        <family val="0"/>
        <charset val="1"/>
      </rPr>
      <t xml:space="preserve">W/X/Y</t>
    </r>
    <r>
      <rPr>
        <sz val="10"/>
        <rFont val="WenQuanYi Zen Hei"/>
        <family val="2"/>
      </rPr>
      <t xml:space="preserve">等）、ファンとの距離の近さ</t>
    </r>
  </si>
  <si>
    <t xml:space="preserve">（基準）Xのフォロワー比率が他PFに比べ低い（約6万）</t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</si>
  <si>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X</t>
    </r>
  </si>
  <si>
    <t xml:space="preserve">鍵アカでのポスター連投など“仕掛け型”ティザー、プレミア公開、TikTokグローバル施策</t>
  </si>
  <si>
    <t xml:space="preserve">大型リリースを数週間かけて盛り上げる設計</t>
  </si>
  <si>
    <r>
      <rPr>
        <sz val="10"/>
        <rFont val="Arial"/>
        <family val="0"/>
        <charset val="1"/>
      </rPr>
      <t xml:space="preserve">EP</t>
    </r>
    <r>
      <rPr>
        <sz val="10"/>
        <rFont val="WenQuanYi Zen Hei"/>
        <family val="2"/>
      </rPr>
      <t xml:space="preserve">『</t>
    </r>
    <r>
      <rPr>
        <sz val="10"/>
        <rFont val="Arial"/>
        <family val="0"/>
        <charset val="1"/>
      </rPr>
      <t xml:space="preserve">SPACE RENDEZVOUS</t>
    </r>
    <r>
      <rPr>
        <sz val="10"/>
        <rFont val="WenQuanYi Zen Hei"/>
        <family val="2"/>
      </rPr>
      <t xml:space="preserve">』のような作品で、収録曲を日替わりで出すカウントダウン型ティザー</t>
    </r>
  </si>
  <si>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YouTube</t>
    </r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</si>
  <si>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は本人非運用（スタッフのみ）。</t>
    </r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で世界観のある写真・オフショット</t>
    </r>
  </si>
  <si>
    <t xml:space="preserve">海外ファン比率が高い／ブランド世界観の統一</t>
  </si>
  <si>
    <r>
      <rPr>
        <sz val="10"/>
        <rFont val="Arial"/>
        <family val="0"/>
        <charset val="1"/>
      </rPr>
      <t xml:space="preserve">IG</t>
    </r>
    <r>
      <rPr>
        <sz val="10"/>
        <rFont val="WenQuanYi Zen Hei"/>
        <family val="2"/>
      </rPr>
      <t xml:space="preserve">での世界観統一・海外向け英語キャプション</t>
    </r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</si>
  <si>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Instagram</t>
    </r>
  </si>
  <si>
    <t xml:space="preserve">アート集団（ART Work Studio）名義での発信を分離。本人発信は控えめ</t>
  </si>
  <si>
    <t xml:space="preserve">作品・ビジュアル重視。ファンUGCが自然発生</t>
  </si>
  <si>
    <t xml:space="preserve">「宇宙船」などEPのコンセプトアートを専用ハイライト／アカウントで発信</t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</si>
  <si>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Instagram</t>
    </r>
  </si>
  <si>
    <t xml:space="preserve">歌唱動画（THE FIRST TAKE等）、ユーモアあるツアータイトル</t>
  </si>
  <si>
    <t xml:space="preserve">歌声の切り抜きが拡散しやすい</t>
  </si>
  <si>
    <t xml:space="preserve">弾き語り・歌唱ショートの定期投稿でTikTok→YouTube導線</t>
  </si>
  <si>
    <r>
      <rPr>
        <sz val="10"/>
        <rFont val="Arial"/>
        <family val="0"/>
        <charset val="1"/>
      </rPr>
      <t xml:space="preserve">YouTube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TikTok</t>
    </r>
  </si>
  <si>
    <r>
      <rPr>
        <sz val="10"/>
        <rFont val="Arial"/>
        <family val="0"/>
        <charset val="1"/>
      </rPr>
      <t xml:space="preserve">TikTok LIVE</t>
    </r>
    <r>
      <rPr>
        <sz val="10"/>
        <rFont val="WenQuanYi Zen Hei"/>
        <family val="2"/>
      </rPr>
      <t xml:space="preserve">で過去ライブ映像を配信、レーベル</t>
    </r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と連携</t>
    </r>
  </si>
  <si>
    <t xml:space="preserve">過去資産の再活用とライブ配信</t>
  </si>
  <si>
    <t xml:space="preserve">ライブ映像のTikTok LIVE配信／ツアー前のアーカイブ公開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</si>
  <si>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・</t>
    </r>
    <r>
      <rPr>
        <sz val="10"/>
        <rFont val="Arial"/>
        <family val="0"/>
        <charset val="1"/>
      </rPr>
      <t xml:space="preserve">YouTube</t>
    </r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</si>
  <si>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で絵文字を多用した読みやすいチケット告知、</t>
    </r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「</t>
    </r>
    <r>
      <rPr>
        <sz val="10"/>
        <rFont val="Arial"/>
        <family val="0"/>
        <charset val="1"/>
      </rPr>
      <t xml:space="preserve">OKKAKE</t>
    </r>
    <r>
      <rPr>
        <sz val="10"/>
        <rFont val="WenQuanYi Zen Hei"/>
        <family val="2"/>
      </rPr>
      <t xml:space="preserve">」でコア層施策</t>
    </r>
  </si>
  <si>
    <t xml:space="preserve">ツアー動員につながる実務的な告知</t>
  </si>
  <si>
    <r>
      <rPr>
        <sz val="10"/>
        <rFont val="Arial"/>
        <family val="0"/>
        <charset val="1"/>
      </rPr>
      <t xml:space="preserve">X</t>
    </r>
    <r>
      <rPr>
        <sz val="10"/>
        <rFont val="WenQuanYi Zen Hei"/>
        <family val="2"/>
      </rPr>
      <t xml:space="preserve">告知のフォーマット化、</t>
    </r>
    <r>
      <rPr>
        <sz val="10"/>
        <rFont val="Arial"/>
        <family val="0"/>
        <charset val="1"/>
      </rPr>
      <t xml:space="preserve">FC</t>
    </r>
    <r>
      <rPr>
        <sz val="10"/>
        <rFont val="WenQuanYi Zen Hei"/>
        <family val="2"/>
      </rPr>
      <t xml:space="preserve">限定ライブなどコア層施策</t>
    </r>
  </si>
  <si>
    <t xml:space="preserve">【Tani Yuuki 比較サマリー】</t>
  </si>
  <si>
    <t xml:space="preserve">・YouTube（約63万）はマカロニえんぴつ（約60万）と同規模。上位（Mrs.674万／藤井風551万）とは約9〜11倍の差。</t>
  </si>
  <si>
    <t xml:space="preserve">・TikTok（約32万）はVaundy公式（約10万）より多い一方、優里（約80万）・藤井風（約120万）・Mrs.（100万超）とは2.5〜4倍差。</t>
  </si>
  <si>
    <t xml:space="preserve">・X（約6万）は比較対象の中で最小（Vaundy約75万、マカロニ約33万、優里約30万）。告知チャネルとしてのX強化の余地。</t>
  </si>
  <si>
    <t xml:space="preserve">・Instagram（約20万・古い値）は比較対象中最小。最新値の再取得を推奨。</t>
  </si>
  <si>
    <t xml:space="preserve">・10/14 EP『SPACE RENDEZVOUS』〜Live Tour 26-27がSNS強化の好機（ティザー設計・ツアー告知フォーマット化）。</t>
  </si>
  <si>
    <t xml:space="preserve">出典・注意事項</t>
  </si>
  <si>
    <t xml:space="preserve">#</t>
  </si>
  <si>
    <t xml:space="preserve">URL</t>
  </si>
  <si>
    <r>
      <rPr>
        <sz val="10"/>
        <rFont val="Arial"/>
        <family val="0"/>
        <charset val="1"/>
      </rPr>
      <t xml:space="preserve">ranking.net </t>
    </r>
    <r>
      <rPr>
        <sz val="10"/>
        <rFont val="WenQuanYi Zen Hei"/>
        <family val="2"/>
      </rPr>
      <t xml:space="preserve">バンド</t>
    </r>
    <r>
      <rPr>
        <sz val="10"/>
        <rFont val="Arial"/>
        <family val="0"/>
        <charset val="1"/>
      </rPr>
      <t xml:space="preserve">SNS</t>
    </r>
    <r>
      <rPr>
        <sz val="10"/>
        <rFont val="WenQuanYi Zen Hei"/>
        <family val="2"/>
      </rPr>
      <t xml:space="preserve">ランキング（</t>
    </r>
    <r>
      <rPr>
        <sz val="10"/>
        <rFont val="Arial"/>
        <family val="0"/>
        <charset val="1"/>
      </rPr>
      <t xml:space="preserve">Mrs. X/IG</t>
    </r>
    <r>
      <rPr>
        <sz val="10"/>
        <rFont val="WenQuanYi Zen Hei"/>
        <family val="2"/>
      </rPr>
      <t xml:space="preserve">）</t>
    </r>
  </si>
  <si>
    <t xml:space="preserve">https://ranking.net/twitter-follower-ranking/band</t>
  </si>
  <si>
    <r>
      <rPr>
        <sz val="10"/>
        <rFont val="Arial"/>
        <family val="0"/>
        <charset val="1"/>
      </rPr>
      <t xml:space="preserve">ranking.net </t>
    </r>
    <r>
      <rPr>
        <sz val="10"/>
        <rFont val="WenQuanYi Zen Hei"/>
        <family val="2"/>
      </rPr>
      <t xml:space="preserve">バンド</t>
    </r>
    <r>
      <rPr>
        <sz val="10"/>
        <rFont val="Arial"/>
        <family val="0"/>
        <charset val="1"/>
      </rPr>
      <t xml:space="preserve">Instagram</t>
    </r>
    <r>
      <rPr>
        <sz val="10"/>
        <rFont val="WenQuanYi Zen Hei"/>
        <family val="2"/>
      </rPr>
      <t xml:space="preserve">ランキング</t>
    </r>
  </si>
  <si>
    <t xml:space="preserve">https://ranking.net/instagram-follower-ranking/band</t>
  </si>
  <si>
    <r>
      <rPr>
        <sz val="10"/>
        <rFont val="Arial"/>
        <family val="0"/>
        <charset val="1"/>
      </rPr>
      <t xml:space="preserve">yutura.net Mrs. GREEN APPLE </t>
    </r>
    <r>
      <rPr>
        <sz val="10"/>
        <rFont val="WenQuanYi Zen Hei"/>
        <family val="2"/>
      </rPr>
      <t xml:space="preserve">登録者推移</t>
    </r>
  </si>
  <si>
    <t xml:space="preserve">https://yutura.net/channel/33319/chart/</t>
  </si>
  <si>
    <r>
      <rPr>
        <sz val="10"/>
        <rFont val="Arial"/>
        <family val="0"/>
        <charset val="1"/>
      </rPr>
      <t xml:space="preserve">THE FIRST TIMES Mrs. TikTok100</t>
    </r>
    <r>
      <rPr>
        <sz val="10"/>
        <rFont val="WenQuanYi Zen Hei"/>
        <family val="2"/>
      </rPr>
      <t xml:space="preserve">万突破</t>
    </r>
  </si>
  <si>
    <t xml:space="preserve">https://www.thefirsttimes.jp/news/0000497518/</t>
  </si>
  <si>
    <r>
      <rPr>
        <sz val="10"/>
        <rFont val="Arial"/>
        <family val="0"/>
        <charset val="1"/>
      </rPr>
      <t xml:space="preserve">Skream! Mrs.</t>
    </r>
    <r>
      <rPr>
        <sz val="10"/>
        <rFont val="WenQuanYi Zen Hei"/>
        <family val="2"/>
      </rPr>
      <t xml:space="preserve">「共犯」</t>
    </r>
    <r>
      <rPr>
        <sz val="10"/>
        <rFont val="Arial"/>
        <family val="0"/>
        <charset val="1"/>
      </rPr>
      <t xml:space="preserve">MV</t>
    </r>
    <r>
      <rPr>
        <sz val="10"/>
        <rFont val="WenQuanYi Zen Hei"/>
        <family val="2"/>
      </rPr>
      <t xml:space="preserve">／</t>
    </r>
    <r>
      <rPr>
        <sz val="10"/>
        <rFont val="Arial"/>
        <family val="0"/>
        <charset val="1"/>
      </rPr>
      <t xml:space="preserve">POPS</t>
    </r>
  </si>
  <si>
    <t xml:space="preserve">https://skream.jp/news/2026/10/mrs_green_apple_kyohan_mv.php</t>
  </si>
  <si>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リアルタイム </t>
    </r>
    <r>
      <rPr>
        <sz val="10"/>
        <rFont val="Arial"/>
        <family val="0"/>
        <charset val="1"/>
      </rPr>
      <t xml:space="preserve">Mrs.</t>
    </r>
    <r>
      <rPr>
        <sz val="10"/>
        <rFont val="WenQuanYi Zen Hei"/>
        <family val="2"/>
      </rPr>
      <t xml:space="preserve">「共犯」告知</t>
    </r>
  </si>
  <si>
    <t xml:space="preserve">https://search.yahoo.co.jp/realtime/search/matome/post/002-648f3ab846dbbcd695ebbb2f</t>
  </si>
  <si>
    <r>
      <rPr>
        <sz val="10"/>
        <rFont val="Arial"/>
        <family val="0"/>
        <charset val="1"/>
      </rPr>
      <t xml:space="preserve">newscafe Mrs. Spotify</t>
    </r>
    <r>
      <rPr>
        <sz val="10"/>
        <rFont val="WenQuanYi Zen Hei"/>
        <family val="2"/>
      </rPr>
      <t xml:space="preserve">公開収録</t>
    </r>
  </si>
  <si>
    <t xml:space="preserve">https://www.newscafe.ne.jp/article/2026/10/05/3033224.html</t>
  </si>
  <si>
    <r>
      <rPr>
        <sz val="10"/>
        <rFont val="Arial"/>
        <family val="0"/>
        <charset val="1"/>
      </rPr>
      <t xml:space="preserve">THE FIRST TIMES #</t>
    </r>
    <r>
      <rPr>
        <sz val="10"/>
        <rFont val="WenQuanYi Zen Hei"/>
        <family val="2"/>
      </rPr>
      <t xml:space="preserve">青りんごの日</t>
    </r>
  </si>
  <si>
    <t xml:space="preserve">https://www.thefirsttimes.jp/?p=814246</t>
  </si>
  <si>
    <r>
      <rPr>
        <sz val="10"/>
        <rFont val="Arial"/>
        <family val="0"/>
        <charset val="1"/>
      </rPr>
      <t xml:space="preserve">HypeAuditor </t>
    </r>
    <r>
      <rPr>
        <sz val="10"/>
        <rFont val="WenQuanYi Zen Hei"/>
        <family val="2"/>
      </rPr>
      <t xml:space="preserve">藤井風 </t>
    </r>
    <r>
      <rPr>
        <sz val="10"/>
        <rFont val="Arial"/>
        <family val="0"/>
        <charset val="1"/>
      </rPr>
      <t xml:space="preserve">Instagram</t>
    </r>
  </si>
  <si>
    <t xml:space="preserve">https://hypeauditor.com/instagram/fujiikaze/</t>
  </si>
  <si>
    <r>
      <rPr>
        <sz val="10"/>
        <rFont val="Arial"/>
        <family val="0"/>
        <charset val="1"/>
      </rPr>
      <t xml:space="preserve">Chartmetric </t>
    </r>
    <r>
      <rPr>
        <sz val="10"/>
        <rFont val="WenQuanYi Zen Hei"/>
        <family val="2"/>
      </rPr>
      <t xml:space="preserve">藤井風</t>
    </r>
  </si>
  <si>
    <t xml:space="preserve">https://chartmetric.com/artist/3416450</t>
  </si>
  <si>
    <r>
      <rPr>
        <sz val="10"/>
        <rFont val="Arial"/>
        <family val="0"/>
        <charset val="1"/>
      </rPr>
      <t xml:space="preserve">Wikipedia </t>
    </r>
    <r>
      <rPr>
        <sz val="10"/>
        <rFont val="WenQuanYi Zen Hei"/>
        <family val="2"/>
      </rPr>
      <t xml:space="preserve">藤井風</t>
    </r>
  </si>
  <si>
    <t xml:space="preserve">https://ja.wikipedia.org/wiki/%E8%97%A4%E4%BA%95%E9%A2%A8</t>
  </si>
  <si>
    <r>
      <rPr>
        <sz val="10"/>
        <rFont val="Arial"/>
        <family val="0"/>
        <charset val="1"/>
      </rPr>
      <t xml:space="preserve">THE FIRST TIMES </t>
    </r>
    <r>
      <rPr>
        <sz val="10"/>
        <rFont val="WenQuanYi Zen Hei"/>
        <family val="2"/>
      </rPr>
      <t xml:space="preserve">藤井風 上海プライベートショット</t>
    </r>
  </si>
  <si>
    <t xml:space="preserve">https://www.thefirsttimes.jp/news/0000525596/attachment-sns/</t>
  </si>
  <si>
    <t xml:space="preserve">モデルプレス 藤井風 SNS切り抜き言及</t>
  </si>
  <si>
    <t xml:space="preserve">https://mdpr.jp/news/detail/3239992</t>
  </si>
  <si>
    <r>
      <rPr>
        <sz val="10"/>
        <rFont val="Arial"/>
        <family val="0"/>
        <charset val="1"/>
      </rPr>
      <t xml:space="preserve">bezzy </t>
    </r>
    <r>
      <rPr>
        <sz val="10"/>
        <rFont val="WenQuanYi Zen Hei"/>
        <family val="2"/>
      </rPr>
      <t xml:space="preserve">藤井風 </t>
    </r>
    <r>
      <rPr>
        <sz val="10"/>
        <rFont val="Arial"/>
        <family val="0"/>
        <charset val="1"/>
      </rPr>
      <t xml:space="preserve">Prema World Tour</t>
    </r>
  </si>
  <si>
    <t xml:space="preserve">https://bezzy.jp/2026/04/84949/</t>
  </si>
  <si>
    <t xml:space="preserve">Chartmetric Vaundy</t>
  </si>
  <si>
    <t xml:space="preserve">https://chartmetric.com/artist/3433193</t>
  </si>
  <si>
    <t xml:space="preserve">TikTok Vaundy Official</t>
  </si>
  <si>
    <t xml:space="preserve">https://www.tiktok.com/@vaundy_artworkstudio</t>
  </si>
  <si>
    <r>
      <rPr>
        <sz val="10"/>
        <rFont val="Arial"/>
        <family val="0"/>
        <charset val="1"/>
      </rPr>
      <t xml:space="preserve">Real Sound Vaundy</t>
    </r>
    <r>
      <rPr>
        <sz val="10"/>
        <rFont val="WenQuanYi Zen Hei"/>
        <family val="2"/>
      </rPr>
      <t xml:space="preserve">ドームツアー完走</t>
    </r>
  </si>
  <si>
    <t xml:space="preserve">https://realsound.jp/2026/04/post-2358816.html</t>
  </si>
  <si>
    <r>
      <rPr>
        <sz val="10"/>
        <rFont val="Arial"/>
        <family val="0"/>
        <charset val="1"/>
      </rPr>
      <t xml:space="preserve">Chartmetric </t>
    </r>
    <r>
      <rPr>
        <sz val="10"/>
        <rFont val="WenQuanYi Zen Hei"/>
        <family val="2"/>
      </rPr>
      <t xml:space="preserve">優里</t>
    </r>
  </si>
  <si>
    <t xml:space="preserve">https://chartmetric.com/artist/3634529</t>
  </si>
  <si>
    <t xml:space="preserve">優里 Official Website</t>
  </si>
  <si>
    <t xml:space="preserve">https://www.yuuriweb.com/</t>
  </si>
  <si>
    <t xml:space="preserve">富士急トラベル 優里</t>
  </si>
  <si>
    <t xml:space="preserve">https://www.fujikyu-travel.co.jp/free2/special/yuuri.html</t>
  </si>
  <si>
    <r>
      <rPr>
        <sz val="10"/>
        <rFont val="Arial"/>
        <family val="0"/>
        <charset val="1"/>
      </rPr>
      <t xml:space="preserve">Wikipedia </t>
    </r>
    <r>
      <rPr>
        <sz val="10"/>
        <rFont val="WenQuanYi Zen Hei"/>
        <family val="2"/>
      </rPr>
      <t xml:space="preserve">あいみょん</t>
    </r>
  </si>
  <si>
    <t xml:space="preserve">https://ja.wikipedia.org/wiki/%E3%81%82%E3%81%84%E3%81%BF%E3%82%87%E3%82%93</t>
  </si>
  <si>
    <r>
      <rPr>
        <sz val="10"/>
        <rFont val="Arial"/>
        <family val="0"/>
        <charset val="1"/>
      </rPr>
      <t xml:space="preserve">ORICON </t>
    </r>
    <r>
      <rPr>
        <sz val="10"/>
        <rFont val="WenQuanYi Zen Hei"/>
        <family val="2"/>
      </rPr>
      <t xml:space="preserve">あいみょん武道館</t>
    </r>
  </si>
  <si>
    <t xml:space="preserve">https://www.oricon.co.jp/news/2468154/full/</t>
  </si>
  <si>
    <r>
      <rPr>
        <sz val="10"/>
        <rFont val="Arial"/>
        <family val="0"/>
        <charset val="1"/>
      </rPr>
      <t xml:space="preserve">unBORDE X TikTok LIVE</t>
    </r>
    <r>
      <rPr>
        <sz val="10"/>
        <rFont val="WenQuanYi Zen Hei"/>
        <family val="2"/>
      </rPr>
      <t xml:space="preserve">告知</t>
    </r>
  </si>
  <si>
    <t xml:space="preserve">https://x.com/unborde/status/2083391412977246467</t>
  </si>
  <si>
    <t xml:space="preserve">マカロニえんぴつ 公式X</t>
  </si>
  <si>
    <t xml:space="preserve">https://x.com/macarock0616?lang=ja</t>
  </si>
  <si>
    <t xml:space="preserve">マカロニえんぴつ NEWS</t>
  </si>
  <si>
    <t xml:space="preserve">https://macaroniempitsu.com/news</t>
  </si>
  <si>
    <t xml:space="preserve">音楽ナタリー マカロニ アリーナツアー</t>
  </si>
  <si>
    <t xml:space="preserve">https://natalie.mu/music/news/666191</t>
  </si>
  <si>
    <r>
      <rPr>
        <sz val="10"/>
        <rFont val="Arial"/>
        <family val="0"/>
        <charset val="1"/>
      </rPr>
      <t xml:space="preserve">yutura.net </t>
    </r>
    <r>
      <rPr>
        <sz val="10"/>
        <rFont val="WenQuanYi Zen Hei"/>
        <family val="2"/>
      </rPr>
      <t xml:space="preserve">公式マカロニえんぴつ</t>
    </r>
  </si>
  <si>
    <t xml:space="preserve">https://yutura.net/channel/35145/</t>
  </si>
  <si>
    <r>
      <rPr>
        <sz val="10"/>
        <rFont val="Arial"/>
        <family val="0"/>
        <charset val="1"/>
      </rPr>
      <t xml:space="preserve">Tani Yuuki </t>
    </r>
    <r>
      <rPr>
        <sz val="10"/>
        <rFont val="WenQuanYi Zen Hei"/>
        <family val="2"/>
      </rPr>
      <t xml:space="preserve">オフィシャルサイト</t>
    </r>
  </si>
  <si>
    <t xml:space="preserve">https://taniyuuki.com/</t>
  </si>
  <si>
    <t xml:space="preserve">Tani Yuuki TikTok</t>
  </si>
  <si>
    <t xml:space="preserve">https://www.tiktok.com/@yu___09___11</t>
  </si>
  <si>
    <t xml:space="preserve">Tani Yuuki X</t>
  </si>
  <si>
    <t xml:space="preserve">https://x.com/yu___09___11</t>
  </si>
  <si>
    <t xml:space="preserve">Tani Yuuki Instagram</t>
  </si>
  <si>
    <t xml:space="preserve">https://www.instagram.com/u_yuuki_u/</t>
  </si>
  <si>
    <t xml:space="preserve">yutura.net Tani Yuuki</t>
  </si>
  <si>
    <t xml:space="preserve">https://yutura.net/channel/52555/</t>
  </si>
  <si>
    <r>
      <rPr>
        <sz val="10"/>
        <rFont val="Arial"/>
        <family val="0"/>
        <charset val="1"/>
      </rPr>
      <t xml:space="preserve">YouTube </t>
    </r>
    <r>
      <rPr>
        <sz val="10"/>
        <rFont val="WenQuanYi Zen Hei"/>
        <family val="2"/>
      </rPr>
      <t xml:space="preserve">エイリアンズ </t>
    </r>
    <r>
      <rPr>
        <sz val="10"/>
        <rFont val="Arial"/>
        <family val="0"/>
        <charset val="1"/>
      </rPr>
      <t xml:space="preserve">MV</t>
    </r>
  </si>
  <si>
    <t xml:space="preserve">https://www.youtube.com/watch?v=tJdDGAIoXL0</t>
  </si>
  <si>
    <t xml:space="preserve">ぴあ関西 Tani Yuukiインタビュー</t>
  </si>
  <si>
    <t xml:space="preserve">https://kansai.pia.co.jp/interview/music/2026-08/tani-yuuki.html</t>
  </si>
  <si>
    <r>
      <rPr>
        <sz val="10"/>
        <rFont val="Arial"/>
        <family val="0"/>
        <charset val="1"/>
      </rPr>
      <t xml:space="preserve">Tani Yuuki LINE</t>
    </r>
    <r>
      <rPr>
        <sz val="10"/>
        <rFont val="WenQuanYi Zen Hei"/>
        <family val="2"/>
      </rPr>
      <t xml:space="preserve">公式</t>
    </r>
  </si>
  <si>
    <t xml:space="preserve">https://page.line.me/391hyqzj</t>
  </si>
  <si>
    <r>
      <rPr>
        <sz val="10"/>
        <rFont val="Arial"/>
        <family val="0"/>
        <charset val="1"/>
      </rPr>
      <t xml:space="preserve">Real Sound Tani Yuuki SPACE RENDEZVOUS</t>
    </r>
    <r>
      <rPr>
        <sz val="10"/>
        <rFont val="WenQuanYi Zen Hei"/>
        <family val="2"/>
      </rPr>
      <t xml:space="preserve">発表</t>
    </r>
  </si>
  <si>
    <t xml:space="preserve">https://realsound.jp/2026/07/post-2454589.html</t>
  </si>
  <si>
    <t xml:space="preserve">Tani Yuuki staff X</t>
  </si>
  <si>
    <t xml:space="preserve">https://x.com/taniyuuki_staff</t>
  </si>
  <si>
    <r>
      <rPr>
        <sz val="10"/>
        <rFont val="Arial"/>
        <family val="0"/>
        <charset val="1"/>
      </rPr>
      <t xml:space="preserve">Tani Yuuki </t>
    </r>
    <r>
      <rPr>
        <sz val="10"/>
        <rFont val="WenQuanYi Zen Hei"/>
        <family val="2"/>
      </rPr>
      <t xml:space="preserve">アイノウタ タイトル決定 </t>
    </r>
    <r>
      <rPr>
        <sz val="10"/>
        <rFont val="Arial"/>
        <family val="0"/>
        <charset val="1"/>
      </rPr>
      <t xml:space="preserve">TikTok</t>
    </r>
  </si>
  <si>
    <t xml:space="preserve">https://www.tiktok.com/@yu___09___11/video/7622630836109724946</t>
  </si>
  <si>
    <r>
      <rPr>
        <sz val="10"/>
        <rFont val="Arial"/>
        <family val="0"/>
        <charset val="1"/>
      </rPr>
      <t xml:space="preserve">Tani Yuuki </t>
    </r>
    <r>
      <rPr>
        <sz val="10"/>
        <rFont val="WenQuanYi Zen Hei"/>
        <family val="2"/>
      </rPr>
      <t xml:space="preserve">アイノウタ リリース</t>
    </r>
    <r>
      <rPr>
        <sz val="10"/>
        <rFont val="Arial"/>
        <family val="0"/>
        <charset val="1"/>
      </rPr>
      <t xml:space="preserve">&amp;MV Shorts</t>
    </r>
  </si>
  <si>
    <t xml:space="preserve">https://www.youtube.com/shorts/RddCVQW_VGs</t>
  </si>
  <si>
    <r>
      <rPr>
        <sz val="10"/>
        <rFont val="Arial"/>
        <family val="0"/>
        <charset val="1"/>
      </rPr>
      <t xml:space="preserve">Yahoo!</t>
    </r>
    <r>
      <rPr>
        <sz val="10"/>
        <rFont val="WenQuanYi Zen Hei"/>
        <family val="2"/>
      </rPr>
      <t xml:space="preserve">リアルタイム エイリアンズ反響</t>
    </r>
  </si>
  <si>
    <t xml:space="preserve">https://search.yahoo.co.jp/realtime/search/matome/post/002-eadced99f1f5e9b2538126b2</t>
  </si>
  <si>
    <r>
      <rPr>
        <sz val="10"/>
        <rFont val="Arial"/>
        <family val="0"/>
        <charset val="1"/>
      </rPr>
      <t xml:space="preserve">TOWER RECORDS Mrs. POPS</t>
    </r>
    <r>
      <rPr>
        <sz val="10"/>
        <rFont val="WenQuanYi Zen Hei"/>
        <family val="2"/>
      </rPr>
      <t xml:space="preserve">タイトル発表</t>
    </r>
  </si>
  <si>
    <t xml:space="preserve">https://tower.jp/article/news/2026/09/09/tg008</t>
  </si>
  <si>
    <r>
      <rPr>
        <sz val="10"/>
        <rFont val="Arial"/>
        <family val="0"/>
        <charset val="1"/>
      </rPr>
      <t xml:space="preserve">TOWER RECORDS Mrs. </t>
    </r>
    <r>
      <rPr>
        <sz val="10"/>
        <rFont val="WenQuanYi Zen Hei"/>
        <family val="2"/>
      </rPr>
      <t xml:space="preserve">全</t>
    </r>
    <r>
      <rPr>
        <sz val="10"/>
        <rFont val="Arial"/>
        <family val="0"/>
        <charset val="1"/>
      </rPr>
      <t xml:space="preserve">16</t>
    </r>
    <r>
      <rPr>
        <sz val="10"/>
        <rFont val="WenQuanYi Zen Hei"/>
        <family val="2"/>
      </rPr>
      <t xml:space="preserve">曲タイトル公開</t>
    </r>
  </si>
  <si>
    <t xml:space="preserve">https://tower.jp/article/news/2026/08/25/tg006</t>
  </si>
  <si>
    <r>
      <rPr>
        <sz val="10"/>
        <rFont val="Arial"/>
        <family val="0"/>
        <charset val="1"/>
      </rPr>
      <t xml:space="preserve">Wikipedia POPS</t>
    </r>
    <r>
      <rPr>
        <sz val="10"/>
        <rFont val="WenQuanYi Zen Hei"/>
        <family val="2"/>
      </rPr>
      <t xml:space="preserve">（鍵アカウント運用）</t>
    </r>
  </si>
  <si>
    <t xml:space="preserve">https://ja.wikipedia.org/wiki/POPS_(Mrs._GREEN_APPLE%E3%81%AE%E3%82%A2%E3%83%AB%E3%83%90%E3%83%A0)</t>
  </si>
  <si>
    <r>
      <rPr>
        <sz val="10"/>
        <rFont val="Arial"/>
        <family val="0"/>
        <charset val="1"/>
      </rPr>
      <t xml:space="preserve">Bezzy </t>
    </r>
    <r>
      <rPr>
        <sz val="10"/>
        <rFont val="WenQuanYi Zen Hei"/>
        <family val="2"/>
      </rPr>
      <t xml:space="preserve">藤井風 </t>
    </r>
    <r>
      <rPr>
        <sz val="10"/>
        <rFont val="Arial"/>
        <family val="0"/>
        <charset val="1"/>
      </rPr>
      <t xml:space="preserve">It's Alright </t>
    </r>
    <r>
      <rPr>
        <sz val="10"/>
        <rFont val="WenQuanYi Zen Hei"/>
        <family val="2"/>
      </rPr>
      <t xml:space="preserve">ポスター</t>
    </r>
  </si>
  <si>
    <t xml:space="preserve">https://bezzy.jp/2026/04/85096/</t>
  </si>
  <si>
    <r>
      <rPr>
        <sz val="10"/>
        <rFont val="Arial"/>
        <family val="0"/>
        <charset val="1"/>
      </rPr>
      <t xml:space="preserve">Bezzy </t>
    </r>
    <r>
      <rPr>
        <sz val="10"/>
        <rFont val="WenQuanYi Zen Hei"/>
        <family val="2"/>
      </rPr>
      <t xml:space="preserve">藤井風 </t>
    </r>
    <r>
      <rPr>
        <sz val="10"/>
        <rFont val="Arial"/>
        <family val="0"/>
        <charset val="1"/>
      </rPr>
      <t xml:space="preserve">Pre: Prema</t>
    </r>
    <r>
      <rPr>
        <sz val="10"/>
        <rFont val="WenQuanYi Zen Hei"/>
        <family val="2"/>
      </rPr>
      <t xml:space="preserve">配信決定</t>
    </r>
  </si>
  <si>
    <t xml:space="preserve">https://bezzy.jp/2026/03/83347/</t>
  </si>
  <si>
    <r>
      <rPr>
        <sz val="10"/>
        <rFont val="Arial"/>
        <family val="0"/>
        <charset val="1"/>
      </rPr>
      <t xml:space="preserve">TOWER RECORDS Vaundy </t>
    </r>
    <r>
      <rPr>
        <sz val="10"/>
        <rFont val="WenQuanYi Zen Hei"/>
        <family val="2"/>
      </rPr>
      <t xml:space="preserve">イデアが溢れて眠れない</t>
    </r>
  </si>
  <si>
    <t xml:space="preserve">https://tower.jp/article/news/2026/03/30/tg014</t>
  </si>
  <si>
    <r>
      <rPr>
        <sz val="10"/>
        <rFont val="WenQuanYi Zen Hei"/>
        <family val="2"/>
      </rPr>
      <t xml:space="preserve">音楽ナタリー </t>
    </r>
    <r>
      <rPr>
        <sz val="10"/>
        <rFont val="Arial"/>
        <family val="0"/>
        <charset val="1"/>
      </rPr>
      <t xml:space="preserve">Vaundy </t>
    </r>
    <r>
      <rPr>
        <sz val="10"/>
        <rFont val="WenQuanYi Zen Hei"/>
        <family val="2"/>
      </rPr>
      <t xml:space="preserve">イデア </t>
    </r>
    <r>
      <rPr>
        <sz val="10"/>
        <rFont val="Arial"/>
        <family val="0"/>
        <charset val="1"/>
      </rPr>
      <t xml:space="preserve">MV</t>
    </r>
  </si>
  <si>
    <t xml:space="preserve">https://natalie.mu/music/news/673431</t>
  </si>
  <si>
    <r>
      <rPr>
        <sz val="10"/>
        <rFont val="WenQuanYi Zen Hei"/>
        <family val="2"/>
      </rPr>
      <t xml:space="preserve">優里 </t>
    </r>
    <r>
      <rPr>
        <sz val="10"/>
        <rFont val="Arial"/>
        <family val="0"/>
        <charset val="1"/>
      </rPr>
      <t xml:space="preserve">X </t>
    </r>
    <r>
      <rPr>
        <sz val="10"/>
        <rFont val="WenQuanYi Zen Hei"/>
        <family val="2"/>
      </rPr>
      <t xml:space="preserve">主題歌報告</t>
    </r>
  </si>
  <si>
    <t xml:space="preserve">https://x.com/yuuri_official/status/2000340667588080030</t>
  </si>
  <si>
    <t xml:space="preserve">ソニーミュージック 優里 世界が終わりました</t>
  </si>
  <si>
    <t xml:space="preserve">https://www.sonymusic.co.jp/artist/yuri/info/580162</t>
  </si>
  <si>
    <r>
      <rPr>
        <sz val="10"/>
        <rFont val="Arial"/>
        <family val="0"/>
        <charset val="1"/>
      </rPr>
      <t xml:space="preserve">Skream! </t>
    </r>
    <r>
      <rPr>
        <sz val="10"/>
        <rFont val="WenQuanYi Zen Hei"/>
        <family val="2"/>
      </rPr>
      <t xml:space="preserve">あいみょん さながらロンリー</t>
    </r>
  </si>
  <si>
    <t xml:space="preserve">https://skream.jp/news/2026/10/aimyon_almostlonely_release.php</t>
  </si>
  <si>
    <r>
      <rPr>
        <sz val="10"/>
        <rFont val="Arial"/>
        <family val="0"/>
        <charset val="1"/>
      </rPr>
      <t xml:space="preserve">BARKS </t>
    </r>
    <r>
      <rPr>
        <sz val="10"/>
        <rFont val="WenQuanYi Zen Hei"/>
        <family val="2"/>
      </rPr>
      <t xml:space="preserve">マカロニえんぴつ </t>
    </r>
    <r>
      <rPr>
        <sz val="10"/>
        <rFont val="Arial"/>
        <family val="0"/>
        <charset val="1"/>
      </rPr>
      <t xml:space="preserve">TikTok</t>
    </r>
    <r>
      <rPr>
        <sz val="10"/>
        <rFont val="WenQuanYi Zen Hei"/>
        <family val="2"/>
      </rPr>
      <t xml:space="preserve">先行</t>
    </r>
  </si>
  <si>
    <t xml:space="preserve">https://barks.jp/news/1085198/</t>
  </si>
  <si>
    <r>
      <rPr>
        <sz val="10"/>
        <rFont val="WenQuanYi Zen Hei"/>
        <family val="2"/>
      </rPr>
      <t xml:space="preserve">音楽ナタリー</t>
    </r>
    <r>
      <rPr>
        <sz val="10"/>
        <rFont val="Arial"/>
        <family val="0"/>
        <charset val="1"/>
      </rPr>
      <t xml:space="preserve">/Yahoo! </t>
    </r>
    <r>
      <rPr>
        <sz val="10"/>
        <rFont val="WenQuanYi Zen Hei"/>
        <family val="2"/>
      </rPr>
      <t xml:space="preserve">マカロニ 運命さがし</t>
    </r>
    <r>
      <rPr>
        <sz val="10"/>
        <rFont val="Arial"/>
        <family val="0"/>
        <charset val="1"/>
      </rPr>
      <t xml:space="preserve">MV</t>
    </r>
  </si>
  <si>
    <t xml:space="preserve">https://news.yahoo.co.jp/articles/968b4bdd4837c9ea03aa7e0652b1847438edc1ba</t>
  </si>
  <si>
    <t xml:space="preserve">【注意事項】</t>
  </si>
  <si>
    <t xml:space="preserve">・調査環境の制約により各SNSへ直接ログイン・閲覧はしておらず、Web検索で得られた公開情報（集計サイト・プロフィール表示・報道）に基づく。</t>
  </si>
  <si>
    <t xml:space="preserve">・フォロワー数は取得時点が異なる（2024年〜2026年10月）。特にTani Yuuki Instagram、マカロニえんぴつInstagramは古い値の可能性。</t>
  </si>
  <si>
    <t xml:space="preserve">・あいみょんのInstagram/X/TikTok、藤井風（スタッフ）X、マカロニえんぴつTikTokは数値未取得。</t>
  </si>
  <si>
    <t xml:space="preserve">・「ブログ」は全アーティストで公式ブログを確認できず（FCサイト内のコンテンツは会員限定のため対象外）。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</si>
</sst>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#,##0"/>
    <numFmt numFmtId="167" formatCode="0.0\x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  <charset val="1"/>
    </font>
    <font>
      <i val="true"/>
      <sz val="9"/>
      <color rgb="FF595959"/>
      <name val="WenQuanYi Zen Hei"/>
      <family val="2"/>
      <charset val="1"/>
    </font>
    <font>
      <b val="true"/>
      <sz val="10"/>
      <color rgb="FFFFFFFF"/>
      <name val="WenQuanYi Zen Hei"/>
      <family val="2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WenQuanYi Zen Hei"/>
      <family val="2"/>
      <charset val="1"/>
    </font>
    <font>
      <b val="true"/>
      <sz val="10"/>
      <name val="Arial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  <charset val="1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color rgb="FFFFFFFF"/>
      <name val="WenQuanYi Zen Hei"/>
      <family val="2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color rgb="FF595959"/>
      <name val="Arial"/>
      <family val="0"/>
      <charset val="1"/>
    </font>
    <font>
      <i val="true"/>
      <sz val="9"/>
      <color rgb="FF595959"/>
      <name val="WenQuanYi Zen Hei"/>
      <family val="2"/>
    </font>
    <font>
      <u val="single"/>
      <sz val="10"/>
      <color rgb="FF0563C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7E6E6"/>
        <bgColor rgb="FFDDEBF7"/>
      </patternFill>
    </fill>
    <fill>
      <patternFill patternType="solid">
        <fgColor rgb="FFFFF2CC"/>
        <bgColor rgb="FFE7E6E6"/>
      </patternFill>
    </fill>
    <fill>
      <patternFill patternType="solid">
        <fgColor rgb="FFDDEBF7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ranking.net/twitter-follower-ranking/band" TargetMode="External"/><Relationship Id="rId2" Type="http://schemas.openxmlformats.org/officeDocument/2006/relationships/hyperlink" Target="https://ranking.net/instagram-follower-ranking/band" TargetMode="External"/><Relationship Id="rId3" Type="http://schemas.openxmlformats.org/officeDocument/2006/relationships/hyperlink" Target="https://yutura.net/channel/33319/chart/" TargetMode="External"/><Relationship Id="rId4" Type="http://schemas.openxmlformats.org/officeDocument/2006/relationships/hyperlink" Target="https://www.thefirsttimes.jp/news/0000497518/" TargetMode="External"/><Relationship Id="rId5" Type="http://schemas.openxmlformats.org/officeDocument/2006/relationships/hyperlink" Target="https://skream.jp/news/2026/10/mrs_green_apple_kyohan_mv.php" TargetMode="External"/><Relationship Id="rId6" Type="http://schemas.openxmlformats.org/officeDocument/2006/relationships/hyperlink" Target="https://search.yahoo.co.jp/realtime/search/matome/post/002-648f3ab846dbbcd695ebbb2f" TargetMode="External"/><Relationship Id="rId7" Type="http://schemas.openxmlformats.org/officeDocument/2006/relationships/hyperlink" Target="https://www.newscafe.ne.jp/article/2026/10/05/3033224.html" TargetMode="External"/><Relationship Id="rId8" Type="http://schemas.openxmlformats.org/officeDocument/2006/relationships/hyperlink" Target="https://www.thefirsttimes.jp/?p=814246" TargetMode="External"/><Relationship Id="rId9" Type="http://schemas.openxmlformats.org/officeDocument/2006/relationships/hyperlink" Target="https://hypeauditor.com/instagram/fujiikaze/" TargetMode="External"/><Relationship Id="rId10" Type="http://schemas.openxmlformats.org/officeDocument/2006/relationships/hyperlink" Target="https://chartmetric.com/artist/3416450" TargetMode="External"/><Relationship Id="rId11" Type="http://schemas.openxmlformats.org/officeDocument/2006/relationships/hyperlink" Target="https://ja.wikipedia.org/wiki/&#34276;&#20117;&#39080;" TargetMode="External"/><Relationship Id="rId12" Type="http://schemas.openxmlformats.org/officeDocument/2006/relationships/hyperlink" Target="https://www.thefirsttimes.jp/news/0000525596/attachment-sns/" TargetMode="External"/><Relationship Id="rId13" Type="http://schemas.openxmlformats.org/officeDocument/2006/relationships/hyperlink" Target="https://mdpr.jp/news/detail/3239992" TargetMode="External"/><Relationship Id="rId14" Type="http://schemas.openxmlformats.org/officeDocument/2006/relationships/hyperlink" Target="https://bezzy.jp/2026/04/84949/" TargetMode="External"/><Relationship Id="rId15" Type="http://schemas.openxmlformats.org/officeDocument/2006/relationships/hyperlink" Target="https://chartmetric.com/artist/3433193" TargetMode="External"/><Relationship Id="rId16" Type="http://schemas.openxmlformats.org/officeDocument/2006/relationships/hyperlink" Target="https://www.tiktok.com/@vaundy_artworkstudio" TargetMode="External"/><Relationship Id="rId17" Type="http://schemas.openxmlformats.org/officeDocument/2006/relationships/hyperlink" Target="https://realsound.jp/2026/04/post-2358816.html" TargetMode="External"/><Relationship Id="rId18" Type="http://schemas.openxmlformats.org/officeDocument/2006/relationships/hyperlink" Target="https://chartmetric.com/artist/3634529" TargetMode="External"/><Relationship Id="rId19" Type="http://schemas.openxmlformats.org/officeDocument/2006/relationships/hyperlink" Target="https://www.yuuriweb.com/" TargetMode="External"/><Relationship Id="rId20" Type="http://schemas.openxmlformats.org/officeDocument/2006/relationships/hyperlink" Target="https://www.fujikyu-travel.co.jp/free2/special/yuuri.html" TargetMode="External"/><Relationship Id="rId21" Type="http://schemas.openxmlformats.org/officeDocument/2006/relationships/hyperlink" Target="https://ja.wikipedia.org/wiki/&#12354;&#12356;&#12415;&#12423;&#12435;" TargetMode="External"/><Relationship Id="rId22" Type="http://schemas.openxmlformats.org/officeDocument/2006/relationships/hyperlink" Target="https://www.oricon.co.jp/news/2468154/full/" TargetMode="External"/><Relationship Id="rId23" Type="http://schemas.openxmlformats.org/officeDocument/2006/relationships/hyperlink" Target="https://x.com/unborde/status/2083391412977246467" TargetMode="External"/><Relationship Id="rId24" Type="http://schemas.openxmlformats.org/officeDocument/2006/relationships/hyperlink" Target="https://x.com/macarock0616?lang=ja" TargetMode="External"/><Relationship Id="rId25" Type="http://schemas.openxmlformats.org/officeDocument/2006/relationships/hyperlink" Target="https://macaroniempitsu.com/news" TargetMode="External"/><Relationship Id="rId26" Type="http://schemas.openxmlformats.org/officeDocument/2006/relationships/hyperlink" Target="https://natalie.mu/music/news/666191" TargetMode="External"/><Relationship Id="rId27" Type="http://schemas.openxmlformats.org/officeDocument/2006/relationships/hyperlink" Target="https://yutura.net/channel/35145/" TargetMode="External"/><Relationship Id="rId28" Type="http://schemas.openxmlformats.org/officeDocument/2006/relationships/hyperlink" Target="https://taniyuuki.com/" TargetMode="External"/><Relationship Id="rId29" Type="http://schemas.openxmlformats.org/officeDocument/2006/relationships/hyperlink" Target="https://www.tiktok.com/@yu___09___11" TargetMode="External"/><Relationship Id="rId30" Type="http://schemas.openxmlformats.org/officeDocument/2006/relationships/hyperlink" Target="https://x.com/yu___09___11" TargetMode="External"/><Relationship Id="rId31" Type="http://schemas.openxmlformats.org/officeDocument/2006/relationships/hyperlink" Target="https://www.instagram.com/u_yuuki_u/" TargetMode="External"/><Relationship Id="rId32" Type="http://schemas.openxmlformats.org/officeDocument/2006/relationships/hyperlink" Target="https://yutura.net/channel/52555/" TargetMode="External"/><Relationship Id="rId33" Type="http://schemas.openxmlformats.org/officeDocument/2006/relationships/hyperlink" Target="https://www.youtube.com/watch?v=tJdDGAIoXL0" TargetMode="External"/><Relationship Id="rId34" Type="http://schemas.openxmlformats.org/officeDocument/2006/relationships/hyperlink" Target="https://kansai.pia.co.jp/interview/music/2026-08/tani-yuuki.html" TargetMode="External"/><Relationship Id="rId35" Type="http://schemas.openxmlformats.org/officeDocument/2006/relationships/hyperlink" Target="https://page.line.me/391hyqzj" TargetMode="External"/><Relationship Id="rId36" Type="http://schemas.openxmlformats.org/officeDocument/2006/relationships/hyperlink" Target="https://realsound.jp/2026/07/post-2454589.html" TargetMode="External"/><Relationship Id="rId37" Type="http://schemas.openxmlformats.org/officeDocument/2006/relationships/hyperlink" Target="https://x.com/taniyuuki_staff" TargetMode="External"/><Relationship Id="rId38" Type="http://schemas.openxmlformats.org/officeDocument/2006/relationships/hyperlink" Target="https://www.tiktok.com/@yu___09___11/video/7622630836109724946" TargetMode="External"/><Relationship Id="rId39" Type="http://schemas.openxmlformats.org/officeDocument/2006/relationships/hyperlink" Target="https://www.youtube.com/shorts/RddCVQW_VGs" TargetMode="External"/><Relationship Id="rId40" Type="http://schemas.openxmlformats.org/officeDocument/2006/relationships/hyperlink" Target="https://search.yahoo.co.jp/realtime/search/matome/post/002-eadced99f1f5e9b2538126b2" TargetMode="External"/><Relationship Id="rId41" Type="http://schemas.openxmlformats.org/officeDocument/2006/relationships/hyperlink" Target="https://tower.jp/article/news/2026/09/09/tg008" TargetMode="External"/><Relationship Id="rId42" Type="http://schemas.openxmlformats.org/officeDocument/2006/relationships/hyperlink" Target="https://tower.jp/article/news/2026/08/25/tg006" TargetMode="External"/><Relationship Id="rId43" Type="http://schemas.openxmlformats.org/officeDocument/2006/relationships/hyperlink" Target="https://ja.wikipedia.org/wiki/POPS_(Mrs._GREEN_APPLE&#12398;&#12450;&#12523;&#12496;&#12512;)" TargetMode="External"/><Relationship Id="rId44" Type="http://schemas.openxmlformats.org/officeDocument/2006/relationships/hyperlink" Target="https://bezzy.jp/2026/04/85096/" TargetMode="External"/><Relationship Id="rId45" Type="http://schemas.openxmlformats.org/officeDocument/2006/relationships/hyperlink" Target="https://bezzy.jp/2026/03/83347/" TargetMode="External"/><Relationship Id="rId46" Type="http://schemas.openxmlformats.org/officeDocument/2006/relationships/hyperlink" Target="https://tower.jp/article/news/2026/03/30/tg014" TargetMode="External"/><Relationship Id="rId47" Type="http://schemas.openxmlformats.org/officeDocument/2006/relationships/hyperlink" Target="https://natalie.mu/music/news/673431" TargetMode="External"/><Relationship Id="rId48" Type="http://schemas.openxmlformats.org/officeDocument/2006/relationships/hyperlink" Target="https://x.com/yuuri_official/status/2000340667588080030" TargetMode="External"/><Relationship Id="rId49" Type="http://schemas.openxmlformats.org/officeDocument/2006/relationships/hyperlink" Target="https://www.sonymusic.co.jp/artist/yuri/info/580162" TargetMode="External"/><Relationship Id="rId50" Type="http://schemas.openxmlformats.org/officeDocument/2006/relationships/hyperlink" Target="https://skream.jp/news/2026/10/aimyon_almostlonely_release.php" TargetMode="External"/><Relationship Id="rId51" Type="http://schemas.openxmlformats.org/officeDocument/2006/relationships/hyperlink" Target="https://barks.jp/news/1085198/" TargetMode="External"/><Relationship Id="rId52" Type="http://schemas.openxmlformats.org/officeDocument/2006/relationships/hyperlink" Target="https://news.yahoo.co.jp/articles/968b4bdd4837c9ea03aa7e0652b1847438edc1ba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9" min="2" style="1" width="3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5" t="s">
        <v>3</v>
      </c>
      <c r="C4" s="5" t="s">
        <v>3</v>
      </c>
      <c r="D4" s="5" t="s">
        <v>4</v>
      </c>
      <c r="E4" s="4" t="s">
        <v>5</v>
      </c>
      <c r="F4" s="5" t="s">
        <v>6</v>
      </c>
      <c r="G4" s="4" t="s">
        <v>7</v>
      </c>
      <c r="H4" s="4" t="s">
        <v>8</v>
      </c>
      <c r="I4" s="4" t="s">
        <v>9</v>
      </c>
    </row>
    <row r="5" customFormat="false" ht="26.25" hidden="false" customHeight="true" outlineLevel="0" collapsed="false">
      <c r="A5" s="6" t="s">
        <v>10</v>
      </c>
      <c r="B5" s="7" t="s">
        <v>11</v>
      </c>
      <c r="C5" s="7" t="s">
        <v>12</v>
      </c>
      <c r="D5" s="8" t="s">
        <v>13</v>
      </c>
      <c r="E5" s="8" t="s">
        <v>14</v>
      </c>
      <c r="F5" s="8" t="s">
        <v>15</v>
      </c>
      <c r="G5" s="8" t="s">
        <v>16</v>
      </c>
      <c r="H5" s="8" t="s">
        <v>17</v>
      </c>
      <c r="I5" s="8" t="s">
        <v>18</v>
      </c>
    </row>
    <row r="6" customFormat="false" ht="15" hidden="false" customHeight="true" outlineLevel="0" collapsed="false">
      <c r="A6" s="6" t="s">
        <v>19</v>
      </c>
      <c r="B6" s="9" t="s">
        <v>20</v>
      </c>
      <c r="C6" s="9" t="s">
        <v>21</v>
      </c>
      <c r="D6" s="10" t="s">
        <v>22</v>
      </c>
      <c r="E6" s="10" t="s">
        <v>23</v>
      </c>
      <c r="F6" s="10" t="s">
        <v>24</v>
      </c>
      <c r="G6" s="10" t="s">
        <v>25</v>
      </c>
      <c r="H6" s="10" t="s">
        <v>26</v>
      </c>
      <c r="I6" s="10" t="s">
        <v>27</v>
      </c>
    </row>
    <row r="7" customFormat="false" ht="150" hidden="false" customHeight="true" outlineLevel="0" collapsed="false">
      <c r="A7" s="11" t="s">
        <v>28</v>
      </c>
      <c r="B7" s="12" t="s">
        <v>29</v>
      </c>
      <c r="C7" s="12" t="s">
        <v>30</v>
      </c>
      <c r="D7" s="13" t="s">
        <v>31</v>
      </c>
      <c r="E7" s="13" t="s">
        <v>32</v>
      </c>
      <c r="F7" s="13" t="s">
        <v>33</v>
      </c>
      <c r="G7" s="13" t="s">
        <v>33</v>
      </c>
      <c r="H7" s="13" t="s">
        <v>33</v>
      </c>
      <c r="I7" s="13" t="s">
        <v>33</v>
      </c>
    </row>
    <row r="8" customFormat="false" ht="150" hidden="false" customHeight="true" outlineLevel="0" collapsed="false">
      <c r="A8" s="11" t="s">
        <v>34</v>
      </c>
      <c r="B8" s="12" t="s">
        <v>35</v>
      </c>
      <c r="C8" s="12" t="s">
        <v>36</v>
      </c>
      <c r="D8" s="13" t="s">
        <v>37</v>
      </c>
      <c r="E8" s="13" t="s">
        <v>38</v>
      </c>
      <c r="F8" s="13" t="s">
        <v>39</v>
      </c>
      <c r="G8" s="13" t="s">
        <v>40</v>
      </c>
      <c r="H8" s="13" t="s">
        <v>41</v>
      </c>
      <c r="I8" s="13" t="s">
        <v>42</v>
      </c>
    </row>
    <row r="9" customFormat="false" ht="150" hidden="false" customHeight="true" outlineLevel="0" collapsed="false">
      <c r="A9" s="11" t="s">
        <v>43</v>
      </c>
      <c r="B9" s="12" t="s">
        <v>44</v>
      </c>
      <c r="C9" s="12" t="s">
        <v>45</v>
      </c>
      <c r="D9" s="13" t="s">
        <v>46</v>
      </c>
      <c r="E9" s="13" t="s">
        <v>47</v>
      </c>
      <c r="F9" s="13" t="s">
        <v>48</v>
      </c>
      <c r="G9" s="13" t="s">
        <v>49</v>
      </c>
      <c r="H9" s="13" t="s">
        <v>50</v>
      </c>
      <c r="I9" s="13" t="s">
        <v>51</v>
      </c>
    </row>
    <row r="10" customFormat="false" ht="150" hidden="false" customHeight="true" outlineLevel="0" collapsed="false">
      <c r="A10" s="11" t="s">
        <v>52</v>
      </c>
      <c r="B10" s="12" t="s">
        <v>53</v>
      </c>
      <c r="C10" s="12" t="s">
        <v>54</v>
      </c>
      <c r="D10" s="13" t="s">
        <v>55</v>
      </c>
      <c r="E10" s="13" t="s">
        <v>56</v>
      </c>
      <c r="F10" s="13" t="s">
        <v>57</v>
      </c>
      <c r="G10" s="13" t="s">
        <v>58</v>
      </c>
      <c r="H10" s="13" t="s">
        <v>59</v>
      </c>
      <c r="I10" s="13" t="s">
        <v>60</v>
      </c>
    </row>
    <row r="11" customFormat="false" ht="150" hidden="false" customHeight="true" outlineLevel="0" collapsed="false">
      <c r="A11" s="11" t="s">
        <v>61</v>
      </c>
      <c r="B11" s="12" t="s">
        <v>62</v>
      </c>
      <c r="C11" s="12" t="s">
        <v>63</v>
      </c>
      <c r="D11" s="13" t="s">
        <v>64</v>
      </c>
      <c r="E11" s="13" t="s">
        <v>65</v>
      </c>
      <c r="F11" s="13" t="s">
        <v>66</v>
      </c>
      <c r="G11" s="13" t="s">
        <v>67</v>
      </c>
      <c r="H11" s="13" t="s">
        <v>33</v>
      </c>
      <c r="I11" s="13" t="s">
        <v>68</v>
      </c>
    </row>
    <row r="12" customFormat="false" ht="60" hidden="false" customHeight="true" outlineLevel="0" collapsed="false">
      <c r="A12" s="6" t="s">
        <v>69</v>
      </c>
      <c r="B12" s="7" t="s">
        <v>70</v>
      </c>
      <c r="C12" s="7" t="s">
        <v>71</v>
      </c>
      <c r="D12" s="14" t="s">
        <v>72</v>
      </c>
      <c r="E12" s="14" t="s">
        <v>73</v>
      </c>
      <c r="F12" s="14" t="s">
        <v>74</v>
      </c>
      <c r="G12" s="14" t="s">
        <v>75</v>
      </c>
      <c r="H12" s="14" t="s">
        <v>76</v>
      </c>
      <c r="I12" s="15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4"/>
    <col collapsed="false" customWidth="true" hidden="false" outlineLevel="0" max="4" min="3" style="1" width="16"/>
    <col collapsed="false" customWidth="true" hidden="false" outlineLevel="0" max="5" min="5" style="1" width="14"/>
    <col collapsed="false" customWidth="true" hidden="false" outlineLevel="0" max="6" min="6" style="1" width="22"/>
    <col collapsed="false" customWidth="true" hidden="false" outlineLevel="0" max="7" min="7" style="1" width="56"/>
    <col collapsed="false" customWidth="true" hidden="false" outlineLevel="0" max="8" min="8" style="1" width="32"/>
    <col collapsed="false" customWidth="true" hidden="false" outlineLevel="0" max="9" min="9" style="1" width="30"/>
  </cols>
  <sheetData>
    <row r="1" customFormat="false" ht="17.25" hidden="false" customHeight="true" outlineLevel="0" collapsed="false">
      <c r="A1" s="2" t="s">
        <v>78</v>
      </c>
    </row>
    <row r="2" customFormat="false" ht="15" hidden="false" customHeight="true" outlineLevel="0" collapsed="false">
      <c r="A2" s="3" t="s">
        <v>79</v>
      </c>
    </row>
    <row r="4" customFormat="false" ht="15" hidden="false" customHeight="true" outlineLevel="0" collapsed="false">
      <c r="A4" s="4" t="s">
        <v>80</v>
      </c>
      <c r="B4" s="4" t="s">
        <v>10</v>
      </c>
      <c r="C4" s="4" t="s">
        <v>19</v>
      </c>
      <c r="D4" s="4" t="s">
        <v>2</v>
      </c>
      <c r="E4" s="4" t="s">
        <v>81</v>
      </c>
      <c r="F4" s="4" t="s">
        <v>82</v>
      </c>
      <c r="G4" s="4" t="s">
        <v>83</v>
      </c>
      <c r="H4" s="4" t="s">
        <v>84</v>
      </c>
      <c r="I4" s="4" t="s">
        <v>85</v>
      </c>
    </row>
    <row r="5" customFormat="false" ht="26.25" hidden="false" customHeight="true" outlineLevel="0" collapsed="false">
      <c r="A5" s="9" t="s">
        <v>3</v>
      </c>
      <c r="B5" s="12" t="s">
        <v>11</v>
      </c>
      <c r="C5" s="16" t="s">
        <v>20</v>
      </c>
      <c r="D5" s="12" t="s">
        <v>28</v>
      </c>
      <c r="E5" s="16" t="s">
        <v>86</v>
      </c>
      <c r="F5" s="16" t="s">
        <v>87</v>
      </c>
      <c r="G5" s="12" t="s">
        <v>88</v>
      </c>
      <c r="H5" s="12" t="s">
        <v>89</v>
      </c>
      <c r="I5" s="16" t="s">
        <v>90</v>
      </c>
    </row>
    <row r="6" customFormat="false" ht="26.25" hidden="false" customHeight="true" outlineLevel="0" collapsed="false">
      <c r="A6" s="9" t="s">
        <v>3</v>
      </c>
      <c r="B6" s="12" t="s">
        <v>11</v>
      </c>
      <c r="C6" s="16" t="s">
        <v>20</v>
      </c>
      <c r="D6" s="12" t="s">
        <v>34</v>
      </c>
      <c r="E6" s="16" t="s">
        <v>91</v>
      </c>
      <c r="F6" s="16" t="s">
        <v>87</v>
      </c>
      <c r="G6" s="12" t="s">
        <v>92</v>
      </c>
      <c r="H6" s="12" t="s">
        <v>93</v>
      </c>
      <c r="I6" s="16" t="s">
        <v>90</v>
      </c>
    </row>
    <row r="7" customFormat="false" ht="26.25" hidden="false" customHeight="true" outlineLevel="0" collapsed="false">
      <c r="A7" s="9" t="s">
        <v>3</v>
      </c>
      <c r="B7" s="12" t="s">
        <v>11</v>
      </c>
      <c r="C7" s="16" t="s">
        <v>20</v>
      </c>
      <c r="D7" s="12" t="s">
        <v>34</v>
      </c>
      <c r="E7" s="16" t="s">
        <v>94</v>
      </c>
      <c r="F7" s="16" t="s">
        <v>95</v>
      </c>
      <c r="G7" s="12" t="s">
        <v>96</v>
      </c>
      <c r="H7" s="12" t="s">
        <v>97</v>
      </c>
      <c r="I7" s="16" t="s">
        <v>90</v>
      </c>
    </row>
    <row r="8" customFormat="false" ht="15" hidden="false" customHeight="true" outlineLevel="0" collapsed="false">
      <c r="A8" s="9" t="s">
        <v>3</v>
      </c>
      <c r="B8" s="12" t="s">
        <v>11</v>
      </c>
      <c r="C8" s="16" t="s">
        <v>20</v>
      </c>
      <c r="D8" s="12" t="s">
        <v>43</v>
      </c>
      <c r="E8" s="16" t="s">
        <v>98</v>
      </c>
      <c r="F8" s="12" t="s">
        <v>99</v>
      </c>
      <c r="G8" s="12" t="s">
        <v>100</v>
      </c>
      <c r="H8" s="12" t="s">
        <v>101</v>
      </c>
      <c r="I8" s="16" t="s">
        <v>90</v>
      </c>
    </row>
    <row r="9" customFormat="false" ht="26.25" hidden="false" customHeight="true" outlineLevel="0" collapsed="false">
      <c r="A9" s="9" t="s">
        <v>3</v>
      </c>
      <c r="B9" s="12" t="s">
        <v>11</v>
      </c>
      <c r="C9" s="16" t="s">
        <v>20</v>
      </c>
      <c r="D9" s="12" t="s">
        <v>52</v>
      </c>
      <c r="E9" s="16" t="s">
        <v>102</v>
      </c>
      <c r="F9" s="16" t="s">
        <v>103</v>
      </c>
      <c r="G9" s="12" t="s">
        <v>104</v>
      </c>
      <c r="H9" s="12" t="s">
        <v>105</v>
      </c>
      <c r="I9" s="16" t="s">
        <v>90</v>
      </c>
    </row>
    <row r="10" customFormat="false" ht="26.25" hidden="false" customHeight="true" outlineLevel="0" collapsed="false">
      <c r="A10" s="9" t="s">
        <v>3</v>
      </c>
      <c r="B10" s="12" t="s">
        <v>11</v>
      </c>
      <c r="C10" s="16" t="s">
        <v>20</v>
      </c>
      <c r="D10" s="12" t="s">
        <v>61</v>
      </c>
      <c r="E10" s="16" t="s">
        <v>106</v>
      </c>
      <c r="F10" s="16" t="s">
        <v>87</v>
      </c>
      <c r="G10" s="16" t="s">
        <v>107</v>
      </c>
      <c r="H10" s="12" t="s">
        <v>108</v>
      </c>
      <c r="I10" s="16" t="s">
        <v>90</v>
      </c>
    </row>
    <row r="11" customFormat="false" ht="26.25" hidden="false" customHeight="true" outlineLevel="0" collapsed="false">
      <c r="A11" s="9" t="s">
        <v>3</v>
      </c>
      <c r="B11" s="12" t="s">
        <v>12</v>
      </c>
      <c r="C11" s="16" t="s">
        <v>109</v>
      </c>
      <c r="D11" s="12" t="s">
        <v>28</v>
      </c>
      <c r="E11" s="16" t="s">
        <v>110</v>
      </c>
      <c r="F11" s="12" t="s">
        <v>111</v>
      </c>
      <c r="G11" s="12" t="s">
        <v>112</v>
      </c>
      <c r="H11" s="12" t="s">
        <v>113</v>
      </c>
      <c r="I11" s="16" t="s">
        <v>114</v>
      </c>
    </row>
    <row r="12" customFormat="false" ht="26.25" hidden="false" customHeight="true" outlineLevel="0" collapsed="false">
      <c r="A12" s="9" t="s">
        <v>3</v>
      </c>
      <c r="B12" s="12" t="s">
        <v>12</v>
      </c>
      <c r="C12" s="16" t="s">
        <v>109</v>
      </c>
      <c r="D12" s="12" t="s">
        <v>34</v>
      </c>
      <c r="E12" s="16" t="s">
        <v>115</v>
      </c>
      <c r="F12" s="12" t="s">
        <v>116</v>
      </c>
      <c r="G12" s="12" t="s">
        <v>117</v>
      </c>
      <c r="H12" s="12" t="s">
        <v>118</v>
      </c>
      <c r="I12" s="16" t="s">
        <v>114</v>
      </c>
    </row>
    <row r="13" customFormat="false" ht="26.25" hidden="false" customHeight="true" outlineLevel="0" collapsed="false">
      <c r="A13" s="9" t="s">
        <v>3</v>
      </c>
      <c r="B13" s="12" t="s">
        <v>12</v>
      </c>
      <c r="C13" s="16" t="s">
        <v>109</v>
      </c>
      <c r="D13" s="12" t="s">
        <v>34</v>
      </c>
      <c r="E13" s="16" t="s">
        <v>119</v>
      </c>
      <c r="F13" s="16" t="s">
        <v>120</v>
      </c>
      <c r="G13" s="12" t="s">
        <v>121</v>
      </c>
      <c r="H13" s="12" t="s">
        <v>122</v>
      </c>
      <c r="I13" s="16" t="s">
        <v>114</v>
      </c>
    </row>
    <row r="14" customFormat="false" ht="26.25" hidden="false" customHeight="true" outlineLevel="0" collapsed="false">
      <c r="A14" s="9" t="s">
        <v>3</v>
      </c>
      <c r="B14" s="12" t="s">
        <v>12</v>
      </c>
      <c r="C14" s="16" t="s">
        <v>109</v>
      </c>
      <c r="D14" s="12" t="s">
        <v>43</v>
      </c>
      <c r="E14" s="16" t="s">
        <v>123</v>
      </c>
      <c r="F14" s="12" t="s">
        <v>124</v>
      </c>
      <c r="G14" s="16" t="s">
        <v>125</v>
      </c>
      <c r="H14" s="12" t="s">
        <v>126</v>
      </c>
      <c r="I14" s="16" t="s">
        <v>114</v>
      </c>
    </row>
    <row r="15" customFormat="false" ht="26.25" hidden="false" customHeight="true" outlineLevel="0" collapsed="false">
      <c r="A15" s="9" t="s">
        <v>3</v>
      </c>
      <c r="B15" s="12" t="s">
        <v>12</v>
      </c>
      <c r="C15" s="16" t="s">
        <v>109</v>
      </c>
      <c r="D15" s="12" t="s">
        <v>52</v>
      </c>
      <c r="E15" s="16" t="s">
        <v>127</v>
      </c>
      <c r="F15" s="16" t="s">
        <v>128</v>
      </c>
      <c r="G15" s="12" t="s">
        <v>129</v>
      </c>
      <c r="H15" s="12" t="s">
        <v>130</v>
      </c>
      <c r="I15" s="16" t="s">
        <v>114</v>
      </c>
    </row>
    <row r="16" customFormat="false" ht="26.25" hidden="false" customHeight="true" outlineLevel="0" collapsed="false">
      <c r="A16" s="9" t="s">
        <v>3</v>
      </c>
      <c r="B16" s="12" t="s">
        <v>12</v>
      </c>
      <c r="C16" s="16" t="s">
        <v>109</v>
      </c>
      <c r="D16" s="12" t="s">
        <v>61</v>
      </c>
      <c r="E16" s="16" t="s">
        <v>131</v>
      </c>
      <c r="F16" s="16" t="s">
        <v>87</v>
      </c>
      <c r="G16" s="16" t="s">
        <v>132</v>
      </c>
      <c r="H16" s="12" t="s">
        <v>133</v>
      </c>
      <c r="I16" s="16" t="s">
        <v>114</v>
      </c>
    </row>
    <row r="17" customFormat="false" ht="26.25" hidden="false" customHeight="true" outlineLevel="0" collapsed="false">
      <c r="A17" s="9" t="s">
        <v>3</v>
      </c>
      <c r="B17" s="12" t="s">
        <v>12</v>
      </c>
      <c r="C17" s="16" t="s">
        <v>109</v>
      </c>
      <c r="D17" s="12" t="s">
        <v>61</v>
      </c>
      <c r="E17" s="16" t="s">
        <v>134</v>
      </c>
      <c r="F17" s="12" t="s">
        <v>135</v>
      </c>
      <c r="G17" s="16" t="s">
        <v>136</v>
      </c>
      <c r="H17" s="16" t="s">
        <v>137</v>
      </c>
      <c r="I17" s="16" t="s">
        <v>114</v>
      </c>
    </row>
    <row r="18" customFormat="false" ht="26.25" hidden="false" customHeight="true" outlineLevel="0" collapsed="false">
      <c r="A18" s="15" t="s">
        <v>4</v>
      </c>
      <c r="B18" s="13" t="s">
        <v>13</v>
      </c>
      <c r="C18" s="17" t="s">
        <v>138</v>
      </c>
      <c r="D18" s="13" t="s">
        <v>28</v>
      </c>
      <c r="E18" s="17" t="s">
        <v>139</v>
      </c>
      <c r="F18" s="17" t="s">
        <v>140</v>
      </c>
      <c r="G18" s="13" t="s">
        <v>141</v>
      </c>
      <c r="H18" s="13" t="s">
        <v>142</v>
      </c>
      <c r="I18" s="17" t="s">
        <v>143</v>
      </c>
    </row>
    <row r="19" customFormat="false" ht="26.25" hidden="false" customHeight="true" outlineLevel="0" collapsed="false">
      <c r="A19" s="15" t="s">
        <v>4</v>
      </c>
      <c r="B19" s="13" t="s">
        <v>13</v>
      </c>
      <c r="C19" s="17" t="s">
        <v>138</v>
      </c>
      <c r="D19" s="13" t="s">
        <v>34</v>
      </c>
      <c r="E19" s="17" t="s">
        <v>144</v>
      </c>
      <c r="F19" s="13" t="s">
        <v>145</v>
      </c>
      <c r="G19" s="13" t="s">
        <v>146</v>
      </c>
      <c r="H19" s="13" t="s">
        <v>147</v>
      </c>
      <c r="I19" s="17" t="s">
        <v>143</v>
      </c>
    </row>
    <row r="20" customFormat="false" ht="26.25" hidden="false" customHeight="true" outlineLevel="0" collapsed="false">
      <c r="A20" s="15" t="s">
        <v>4</v>
      </c>
      <c r="B20" s="13" t="s">
        <v>13</v>
      </c>
      <c r="C20" s="17" t="s">
        <v>138</v>
      </c>
      <c r="D20" s="13" t="s">
        <v>34</v>
      </c>
      <c r="E20" s="17" t="s">
        <v>148</v>
      </c>
      <c r="F20" s="13" t="s">
        <v>145</v>
      </c>
      <c r="G20" s="13" t="s">
        <v>149</v>
      </c>
      <c r="H20" s="13" t="s">
        <v>150</v>
      </c>
      <c r="I20" s="17" t="s">
        <v>143</v>
      </c>
    </row>
    <row r="21" customFormat="false" ht="26.25" hidden="false" customHeight="true" outlineLevel="0" collapsed="false">
      <c r="A21" s="15" t="s">
        <v>4</v>
      </c>
      <c r="B21" s="13" t="s">
        <v>13</v>
      </c>
      <c r="C21" s="17" t="s">
        <v>138</v>
      </c>
      <c r="D21" s="13" t="s">
        <v>43</v>
      </c>
      <c r="E21" s="17" t="s">
        <v>127</v>
      </c>
      <c r="F21" s="17" t="s">
        <v>151</v>
      </c>
      <c r="G21" s="13" t="s">
        <v>152</v>
      </c>
      <c r="H21" s="13" t="s">
        <v>153</v>
      </c>
      <c r="I21" s="17" t="s">
        <v>143</v>
      </c>
    </row>
    <row r="22" customFormat="false" ht="26.25" hidden="false" customHeight="true" outlineLevel="0" collapsed="false">
      <c r="A22" s="15" t="s">
        <v>4</v>
      </c>
      <c r="B22" s="13" t="s">
        <v>13</v>
      </c>
      <c r="C22" s="17" t="s">
        <v>138</v>
      </c>
      <c r="D22" s="13" t="s">
        <v>52</v>
      </c>
      <c r="E22" s="17" t="s">
        <v>154</v>
      </c>
      <c r="F22" s="13" t="s">
        <v>155</v>
      </c>
      <c r="G22" s="13" t="s">
        <v>156</v>
      </c>
      <c r="H22" s="13" t="s">
        <v>157</v>
      </c>
      <c r="I22" s="17" t="s">
        <v>143</v>
      </c>
    </row>
    <row r="23" customFormat="false" ht="26.25" hidden="false" customHeight="true" outlineLevel="0" collapsed="false">
      <c r="A23" s="15" t="s">
        <v>4</v>
      </c>
      <c r="B23" s="13" t="s">
        <v>13</v>
      </c>
      <c r="C23" s="17" t="s">
        <v>138</v>
      </c>
      <c r="D23" s="13" t="s">
        <v>61</v>
      </c>
      <c r="E23" s="17" t="s">
        <v>158</v>
      </c>
      <c r="F23" s="17" t="s">
        <v>159</v>
      </c>
      <c r="G23" s="17" t="s">
        <v>160</v>
      </c>
      <c r="H23" s="13" t="s">
        <v>161</v>
      </c>
      <c r="I23" s="17" t="s">
        <v>143</v>
      </c>
    </row>
    <row r="24" customFormat="false" ht="26.25" hidden="false" customHeight="true" outlineLevel="0" collapsed="false">
      <c r="A24" s="15" t="s">
        <v>4</v>
      </c>
      <c r="B24" s="13" t="s">
        <v>13</v>
      </c>
      <c r="C24" s="17" t="s">
        <v>138</v>
      </c>
      <c r="D24" s="13" t="s">
        <v>61</v>
      </c>
      <c r="E24" s="17" t="s">
        <v>162</v>
      </c>
      <c r="F24" s="17" t="s">
        <v>163</v>
      </c>
      <c r="G24" s="13" t="s">
        <v>164</v>
      </c>
      <c r="H24" s="13" t="s">
        <v>165</v>
      </c>
      <c r="I24" s="17" t="s">
        <v>143</v>
      </c>
    </row>
    <row r="25" customFormat="false" ht="26.25" hidden="false" customHeight="true" outlineLevel="0" collapsed="false">
      <c r="A25" s="14" t="s">
        <v>5</v>
      </c>
      <c r="B25" s="13" t="s">
        <v>14</v>
      </c>
      <c r="C25" s="17" t="s">
        <v>23</v>
      </c>
      <c r="D25" s="13" t="s">
        <v>28</v>
      </c>
      <c r="E25" s="17" t="s">
        <v>166</v>
      </c>
      <c r="F25" s="17" t="s">
        <v>167</v>
      </c>
      <c r="G25" s="17" t="s">
        <v>168</v>
      </c>
      <c r="H25" s="13" t="s">
        <v>169</v>
      </c>
      <c r="I25" s="17" t="s">
        <v>170</v>
      </c>
    </row>
    <row r="26" customFormat="false" ht="26.25" hidden="false" customHeight="true" outlineLevel="0" collapsed="false">
      <c r="A26" s="14" t="s">
        <v>5</v>
      </c>
      <c r="B26" s="13" t="s">
        <v>14</v>
      </c>
      <c r="C26" s="17" t="s">
        <v>23</v>
      </c>
      <c r="D26" s="13" t="s">
        <v>34</v>
      </c>
      <c r="E26" s="17" t="s">
        <v>171</v>
      </c>
      <c r="F26" s="13" t="s">
        <v>145</v>
      </c>
      <c r="G26" s="13" t="s">
        <v>172</v>
      </c>
      <c r="H26" s="17" t="s">
        <v>137</v>
      </c>
      <c r="I26" s="17" t="s">
        <v>170</v>
      </c>
    </row>
    <row r="27" customFormat="false" ht="26.25" hidden="false" customHeight="true" outlineLevel="0" collapsed="false">
      <c r="A27" s="14" t="s">
        <v>5</v>
      </c>
      <c r="B27" s="13" t="s">
        <v>14</v>
      </c>
      <c r="C27" s="17" t="s">
        <v>23</v>
      </c>
      <c r="D27" s="13" t="s">
        <v>43</v>
      </c>
      <c r="E27" s="17" t="s">
        <v>171</v>
      </c>
      <c r="F27" s="17" t="s">
        <v>173</v>
      </c>
      <c r="G27" s="13" t="s">
        <v>174</v>
      </c>
      <c r="H27" s="13" t="s">
        <v>175</v>
      </c>
      <c r="I27" s="17" t="s">
        <v>170</v>
      </c>
    </row>
    <row r="28" customFormat="false" ht="26.25" hidden="false" customHeight="true" outlineLevel="0" collapsed="false">
      <c r="A28" s="14" t="s">
        <v>5</v>
      </c>
      <c r="B28" s="13" t="s">
        <v>14</v>
      </c>
      <c r="C28" s="17" t="s">
        <v>23</v>
      </c>
      <c r="D28" s="13" t="s">
        <v>52</v>
      </c>
      <c r="E28" s="17" t="s">
        <v>176</v>
      </c>
      <c r="F28" s="13" t="s">
        <v>177</v>
      </c>
      <c r="G28" s="13" t="s">
        <v>178</v>
      </c>
      <c r="H28" s="13" t="s">
        <v>179</v>
      </c>
      <c r="I28" s="17" t="s">
        <v>170</v>
      </c>
    </row>
    <row r="29" customFormat="false" ht="26.25" hidden="false" customHeight="true" outlineLevel="0" collapsed="false">
      <c r="A29" s="14" t="s">
        <v>5</v>
      </c>
      <c r="B29" s="13" t="s">
        <v>14</v>
      </c>
      <c r="C29" s="17" t="s">
        <v>23</v>
      </c>
      <c r="D29" s="13" t="s">
        <v>61</v>
      </c>
      <c r="E29" s="17" t="s">
        <v>180</v>
      </c>
      <c r="F29" s="13" t="s">
        <v>181</v>
      </c>
      <c r="G29" s="13" t="s">
        <v>182</v>
      </c>
      <c r="H29" s="13" t="s">
        <v>183</v>
      </c>
      <c r="I29" s="17" t="s">
        <v>170</v>
      </c>
    </row>
    <row r="30" customFormat="false" ht="26.25" hidden="false" customHeight="true" outlineLevel="0" collapsed="false">
      <c r="A30" s="14" t="s">
        <v>5</v>
      </c>
      <c r="B30" s="13" t="s">
        <v>14</v>
      </c>
      <c r="C30" s="17" t="s">
        <v>23</v>
      </c>
      <c r="D30" s="13" t="s">
        <v>61</v>
      </c>
      <c r="E30" s="17" t="s">
        <v>184</v>
      </c>
      <c r="F30" s="17" t="s">
        <v>185</v>
      </c>
      <c r="G30" s="17" t="s">
        <v>186</v>
      </c>
      <c r="H30" s="17" t="s">
        <v>187</v>
      </c>
      <c r="I30" s="17" t="s">
        <v>170</v>
      </c>
    </row>
    <row r="31" customFormat="false" ht="26.25" hidden="false" customHeight="true" outlineLevel="0" collapsed="false">
      <c r="A31" s="15" t="s">
        <v>6</v>
      </c>
      <c r="B31" s="13" t="s">
        <v>15</v>
      </c>
      <c r="C31" s="17" t="s">
        <v>24</v>
      </c>
      <c r="D31" s="13" t="s">
        <v>34</v>
      </c>
      <c r="E31" s="17" t="s">
        <v>188</v>
      </c>
      <c r="F31" s="13" t="s">
        <v>99</v>
      </c>
      <c r="G31" s="13" t="s">
        <v>189</v>
      </c>
      <c r="H31" s="13" t="s">
        <v>190</v>
      </c>
      <c r="I31" s="17" t="s">
        <v>191</v>
      </c>
    </row>
    <row r="32" customFormat="false" ht="26.25" hidden="false" customHeight="true" outlineLevel="0" collapsed="false">
      <c r="A32" s="15" t="s">
        <v>6</v>
      </c>
      <c r="B32" s="13" t="s">
        <v>15</v>
      </c>
      <c r="C32" s="17" t="s">
        <v>24</v>
      </c>
      <c r="D32" s="13" t="s">
        <v>34</v>
      </c>
      <c r="E32" s="17" t="s">
        <v>192</v>
      </c>
      <c r="F32" s="13" t="s">
        <v>145</v>
      </c>
      <c r="G32" s="17" t="s">
        <v>193</v>
      </c>
      <c r="H32" s="13" t="s">
        <v>194</v>
      </c>
      <c r="I32" s="17" t="s">
        <v>191</v>
      </c>
    </row>
    <row r="33" customFormat="false" ht="26.25" hidden="false" customHeight="true" outlineLevel="0" collapsed="false">
      <c r="A33" s="15" t="s">
        <v>6</v>
      </c>
      <c r="B33" s="13" t="s">
        <v>15</v>
      </c>
      <c r="C33" s="17" t="s">
        <v>24</v>
      </c>
      <c r="D33" s="13" t="s">
        <v>43</v>
      </c>
      <c r="E33" s="17" t="s">
        <v>195</v>
      </c>
      <c r="F33" s="17" t="s">
        <v>196</v>
      </c>
      <c r="G33" s="13" t="s">
        <v>197</v>
      </c>
      <c r="H33" s="13" t="s">
        <v>198</v>
      </c>
      <c r="I33" s="17" t="s">
        <v>191</v>
      </c>
    </row>
    <row r="34" customFormat="false" ht="26.25" hidden="false" customHeight="true" outlineLevel="0" collapsed="false">
      <c r="A34" s="15" t="s">
        <v>6</v>
      </c>
      <c r="B34" s="13" t="s">
        <v>15</v>
      </c>
      <c r="C34" s="17" t="s">
        <v>24</v>
      </c>
      <c r="D34" s="13" t="s">
        <v>52</v>
      </c>
      <c r="E34" s="17" t="s">
        <v>199</v>
      </c>
      <c r="F34" s="13" t="s">
        <v>177</v>
      </c>
      <c r="G34" s="13" t="s">
        <v>200</v>
      </c>
      <c r="H34" s="17" t="s">
        <v>137</v>
      </c>
      <c r="I34" s="17" t="s">
        <v>191</v>
      </c>
    </row>
    <row r="35" customFormat="false" ht="26.25" hidden="false" customHeight="true" outlineLevel="0" collapsed="false">
      <c r="A35" s="15" t="s">
        <v>6</v>
      </c>
      <c r="B35" s="13" t="s">
        <v>15</v>
      </c>
      <c r="C35" s="17" t="s">
        <v>24</v>
      </c>
      <c r="D35" s="13" t="s">
        <v>61</v>
      </c>
      <c r="E35" s="17" t="s">
        <v>201</v>
      </c>
      <c r="F35" s="17" t="s">
        <v>202</v>
      </c>
      <c r="G35" s="17" t="s">
        <v>203</v>
      </c>
      <c r="H35" s="13" t="s">
        <v>204</v>
      </c>
      <c r="I35" s="17" t="s">
        <v>191</v>
      </c>
    </row>
    <row r="36" customFormat="false" ht="26.25" hidden="false" customHeight="true" outlineLevel="0" collapsed="false">
      <c r="A36" s="15" t="s">
        <v>6</v>
      </c>
      <c r="B36" s="13" t="s">
        <v>15</v>
      </c>
      <c r="C36" s="17" t="s">
        <v>24</v>
      </c>
      <c r="D36" s="13" t="s">
        <v>61</v>
      </c>
      <c r="E36" s="17" t="s">
        <v>205</v>
      </c>
      <c r="F36" s="17" t="s">
        <v>196</v>
      </c>
      <c r="G36" s="17" t="s">
        <v>206</v>
      </c>
      <c r="H36" s="17" t="s">
        <v>137</v>
      </c>
      <c r="I36" s="17" t="s">
        <v>191</v>
      </c>
    </row>
    <row r="37" customFormat="false" ht="26.25" hidden="false" customHeight="true" outlineLevel="0" collapsed="false">
      <c r="A37" s="14" t="s">
        <v>7</v>
      </c>
      <c r="B37" s="13" t="s">
        <v>16</v>
      </c>
      <c r="C37" s="17" t="s">
        <v>25</v>
      </c>
      <c r="D37" s="13" t="s">
        <v>34</v>
      </c>
      <c r="E37" s="17" t="s">
        <v>207</v>
      </c>
      <c r="F37" s="17" t="s">
        <v>208</v>
      </c>
      <c r="G37" s="13" t="s">
        <v>209</v>
      </c>
      <c r="H37" s="13" t="s">
        <v>210</v>
      </c>
      <c r="I37" s="13" t="s">
        <v>211</v>
      </c>
    </row>
    <row r="38" customFormat="false" ht="26.25" hidden="false" customHeight="true" outlineLevel="0" collapsed="false">
      <c r="A38" s="14" t="s">
        <v>7</v>
      </c>
      <c r="B38" s="13" t="s">
        <v>16</v>
      </c>
      <c r="C38" s="17" t="s">
        <v>25</v>
      </c>
      <c r="D38" s="13" t="s">
        <v>43</v>
      </c>
      <c r="E38" s="17" t="s">
        <v>212</v>
      </c>
      <c r="F38" s="17" t="s">
        <v>213</v>
      </c>
      <c r="G38" s="13" t="s">
        <v>214</v>
      </c>
      <c r="H38" s="13" t="s">
        <v>215</v>
      </c>
      <c r="I38" s="13" t="s">
        <v>211</v>
      </c>
    </row>
    <row r="39" customFormat="false" ht="24.75" hidden="false" customHeight="true" outlineLevel="0" collapsed="false">
      <c r="A39" s="14" t="s">
        <v>7</v>
      </c>
      <c r="B39" s="13" t="s">
        <v>16</v>
      </c>
      <c r="C39" s="17" t="s">
        <v>25</v>
      </c>
      <c r="D39" s="13" t="s">
        <v>52</v>
      </c>
      <c r="E39" s="17" t="s">
        <v>216</v>
      </c>
      <c r="F39" s="13" t="s">
        <v>177</v>
      </c>
      <c r="G39" s="13" t="s">
        <v>217</v>
      </c>
      <c r="H39" s="13" t="s">
        <v>218</v>
      </c>
      <c r="I39" s="13" t="s">
        <v>211</v>
      </c>
    </row>
    <row r="40" customFormat="false" ht="24.75" hidden="false" customHeight="true" outlineLevel="0" collapsed="false">
      <c r="A40" s="14" t="s">
        <v>7</v>
      </c>
      <c r="B40" s="13" t="s">
        <v>16</v>
      </c>
      <c r="C40" s="17" t="s">
        <v>25</v>
      </c>
      <c r="D40" s="13" t="s">
        <v>61</v>
      </c>
      <c r="E40" s="17" t="s">
        <v>219</v>
      </c>
      <c r="F40" s="17" t="s">
        <v>185</v>
      </c>
      <c r="G40" s="13" t="s">
        <v>220</v>
      </c>
      <c r="H40" s="17" t="s">
        <v>221</v>
      </c>
      <c r="I40" s="13" t="s">
        <v>211</v>
      </c>
    </row>
    <row r="41" customFormat="false" ht="24.75" hidden="false" customHeight="true" outlineLevel="0" collapsed="false">
      <c r="A41" s="14" t="s">
        <v>7</v>
      </c>
      <c r="B41" s="13" t="s">
        <v>16</v>
      </c>
      <c r="C41" s="17" t="s">
        <v>25</v>
      </c>
      <c r="D41" s="13" t="s">
        <v>61</v>
      </c>
      <c r="E41" s="13" t="s">
        <v>222</v>
      </c>
      <c r="F41" s="17" t="s">
        <v>185</v>
      </c>
      <c r="G41" s="13" t="s">
        <v>223</v>
      </c>
      <c r="H41" s="13" t="s">
        <v>224</v>
      </c>
      <c r="I41" s="13" t="s">
        <v>211</v>
      </c>
    </row>
    <row r="42" customFormat="false" ht="26.25" hidden="false" customHeight="true" outlineLevel="0" collapsed="false">
      <c r="A42" s="14" t="s">
        <v>8</v>
      </c>
      <c r="B42" s="13" t="s">
        <v>17</v>
      </c>
      <c r="C42" s="17" t="s">
        <v>26</v>
      </c>
      <c r="D42" s="13" t="s">
        <v>34</v>
      </c>
      <c r="E42" s="17" t="s">
        <v>225</v>
      </c>
      <c r="F42" s="13" t="s">
        <v>226</v>
      </c>
      <c r="G42" s="17" t="s">
        <v>227</v>
      </c>
      <c r="H42" s="13" t="s">
        <v>228</v>
      </c>
      <c r="I42" s="13" t="s">
        <v>229</v>
      </c>
    </row>
    <row r="43" customFormat="false" ht="15" hidden="false" customHeight="true" outlineLevel="0" collapsed="false">
      <c r="A43" s="14" t="s">
        <v>8</v>
      </c>
      <c r="B43" s="13" t="s">
        <v>17</v>
      </c>
      <c r="C43" s="17" t="s">
        <v>26</v>
      </c>
      <c r="D43" s="13" t="s">
        <v>43</v>
      </c>
      <c r="E43" s="17" t="s">
        <v>162</v>
      </c>
      <c r="F43" s="17" t="s">
        <v>196</v>
      </c>
      <c r="G43" s="13" t="s">
        <v>230</v>
      </c>
      <c r="H43" s="17" t="s">
        <v>137</v>
      </c>
      <c r="I43" s="13" t="s">
        <v>229</v>
      </c>
    </row>
    <row r="44" customFormat="false" ht="15" hidden="false" customHeight="true" outlineLevel="0" collapsed="false">
      <c r="A44" s="14" t="s">
        <v>8</v>
      </c>
      <c r="B44" s="13" t="s">
        <v>17</v>
      </c>
      <c r="C44" s="17" t="s">
        <v>26</v>
      </c>
      <c r="D44" s="13" t="s">
        <v>43</v>
      </c>
      <c r="E44" s="17" t="s">
        <v>231</v>
      </c>
      <c r="F44" s="17" t="s">
        <v>232</v>
      </c>
      <c r="G44" s="13" t="s">
        <v>233</v>
      </c>
      <c r="H44" s="17" t="s">
        <v>234</v>
      </c>
      <c r="I44" s="13" t="s">
        <v>229</v>
      </c>
    </row>
    <row r="45" customFormat="false" ht="15" hidden="false" customHeight="true" outlineLevel="0" collapsed="false">
      <c r="A45" s="14" t="s">
        <v>8</v>
      </c>
      <c r="B45" s="13" t="s">
        <v>17</v>
      </c>
      <c r="C45" s="17" t="s">
        <v>26</v>
      </c>
      <c r="D45" s="13" t="s">
        <v>43</v>
      </c>
      <c r="E45" s="17" t="s">
        <v>235</v>
      </c>
      <c r="F45" s="13" t="s">
        <v>236</v>
      </c>
      <c r="G45" s="17" t="s">
        <v>237</v>
      </c>
      <c r="H45" s="13" t="s">
        <v>238</v>
      </c>
      <c r="I45" s="13" t="s">
        <v>229</v>
      </c>
    </row>
    <row r="46" customFormat="false" ht="26.25" hidden="false" customHeight="true" outlineLevel="0" collapsed="false">
      <c r="A46" s="14" t="s">
        <v>8</v>
      </c>
      <c r="B46" s="13" t="s">
        <v>17</v>
      </c>
      <c r="C46" s="17" t="s">
        <v>26</v>
      </c>
      <c r="D46" s="13" t="s">
        <v>52</v>
      </c>
      <c r="E46" s="17" t="s">
        <v>239</v>
      </c>
      <c r="F46" s="13" t="s">
        <v>240</v>
      </c>
      <c r="G46" s="13" t="s">
        <v>241</v>
      </c>
      <c r="H46" s="17" t="s">
        <v>137</v>
      </c>
      <c r="I46" s="13" t="s">
        <v>229</v>
      </c>
    </row>
    <row r="47" customFormat="false" ht="26.25" hidden="false" customHeight="true" outlineLevel="0" collapsed="false">
      <c r="A47" s="14" t="s">
        <v>9</v>
      </c>
      <c r="B47" s="13" t="s">
        <v>18</v>
      </c>
      <c r="C47" s="17" t="s">
        <v>242</v>
      </c>
      <c r="D47" s="13" t="s">
        <v>34</v>
      </c>
      <c r="E47" s="17" t="s">
        <v>110</v>
      </c>
      <c r="F47" s="13" t="s">
        <v>243</v>
      </c>
      <c r="G47" s="13" t="s">
        <v>244</v>
      </c>
      <c r="H47" s="17" t="s">
        <v>137</v>
      </c>
      <c r="I47" s="17" t="s">
        <v>245</v>
      </c>
    </row>
    <row r="48" customFormat="false" ht="26.25" hidden="false" customHeight="true" outlineLevel="0" collapsed="false">
      <c r="A48" s="14" t="s">
        <v>9</v>
      </c>
      <c r="B48" s="13" t="s">
        <v>18</v>
      </c>
      <c r="C48" s="17" t="s">
        <v>242</v>
      </c>
      <c r="D48" s="13" t="s">
        <v>43</v>
      </c>
      <c r="E48" s="17" t="s">
        <v>246</v>
      </c>
      <c r="F48" s="17" t="s">
        <v>87</v>
      </c>
      <c r="G48" s="17" t="s">
        <v>247</v>
      </c>
      <c r="H48" s="17" t="s">
        <v>248</v>
      </c>
      <c r="I48" s="17" t="s">
        <v>245</v>
      </c>
    </row>
    <row r="49" customFormat="false" ht="26.25" hidden="false" customHeight="true" outlineLevel="0" collapsed="false">
      <c r="A49" s="14" t="s">
        <v>9</v>
      </c>
      <c r="B49" s="13" t="s">
        <v>18</v>
      </c>
      <c r="C49" s="17" t="s">
        <v>242</v>
      </c>
      <c r="D49" s="13" t="s">
        <v>43</v>
      </c>
      <c r="E49" s="17" t="s">
        <v>249</v>
      </c>
      <c r="F49" s="13" t="s">
        <v>236</v>
      </c>
      <c r="G49" s="17" t="s">
        <v>250</v>
      </c>
      <c r="H49" s="17" t="s">
        <v>137</v>
      </c>
      <c r="I49" s="17" t="s">
        <v>245</v>
      </c>
    </row>
    <row r="50" customFormat="false" ht="26.25" hidden="false" customHeight="true" outlineLevel="0" collapsed="false">
      <c r="A50" s="14" t="s">
        <v>9</v>
      </c>
      <c r="B50" s="13" t="s">
        <v>18</v>
      </c>
      <c r="C50" s="17" t="s">
        <v>242</v>
      </c>
      <c r="D50" s="13" t="s">
        <v>52</v>
      </c>
      <c r="E50" s="17" t="s">
        <v>251</v>
      </c>
      <c r="F50" s="13" t="s">
        <v>252</v>
      </c>
      <c r="G50" s="17" t="s">
        <v>253</v>
      </c>
      <c r="H50" s="13" t="s">
        <v>254</v>
      </c>
      <c r="I50" s="17" t="s">
        <v>245</v>
      </c>
    </row>
    <row r="51" customFormat="false" ht="26.25" hidden="false" customHeight="true" outlineLevel="0" collapsed="false">
      <c r="A51" s="14" t="s">
        <v>9</v>
      </c>
      <c r="B51" s="13" t="s">
        <v>18</v>
      </c>
      <c r="C51" s="17" t="s">
        <v>242</v>
      </c>
      <c r="D51" s="13" t="s">
        <v>61</v>
      </c>
      <c r="E51" s="17" t="s">
        <v>255</v>
      </c>
      <c r="F51" s="17" t="s">
        <v>256</v>
      </c>
      <c r="G51" s="13" t="s">
        <v>257</v>
      </c>
      <c r="H51" s="13" t="s">
        <v>258</v>
      </c>
      <c r="I51" s="17" t="s">
        <v>245</v>
      </c>
    </row>
    <row r="52" customFormat="false" ht="26.25" hidden="false" customHeight="true" outlineLevel="0" collapsed="false">
      <c r="A52" s="14" t="s">
        <v>9</v>
      </c>
      <c r="B52" s="13" t="s">
        <v>18</v>
      </c>
      <c r="C52" s="17" t="s">
        <v>242</v>
      </c>
      <c r="D52" s="13" t="s">
        <v>61</v>
      </c>
      <c r="E52" s="17" t="s">
        <v>259</v>
      </c>
      <c r="F52" s="13" t="s">
        <v>99</v>
      </c>
      <c r="G52" s="13" t="s">
        <v>260</v>
      </c>
      <c r="H52" s="17" t="s">
        <v>137</v>
      </c>
      <c r="I52" s="17" t="s">
        <v>245</v>
      </c>
    </row>
  </sheetData>
  <autoFilter ref="A4:I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9" min="2" style="1" width="15"/>
  </cols>
  <sheetData>
    <row r="1" customFormat="false" ht="18.75" hidden="false" customHeight="true" outlineLevel="0" collapsed="false">
      <c r="A1" s="2" t="s">
        <v>261</v>
      </c>
    </row>
    <row r="2" customFormat="false" ht="15" hidden="false" customHeight="true" outlineLevel="0" collapsed="false">
      <c r="A2" s="3" t="s">
        <v>262</v>
      </c>
    </row>
    <row r="4" customFormat="false" ht="42" hidden="false" customHeight="true" outlineLevel="0" collapsed="false">
      <c r="A4" s="4" t="s">
        <v>263</v>
      </c>
      <c r="B4" s="5" t="s">
        <v>264</v>
      </c>
      <c r="C4" s="5" t="s">
        <v>265</v>
      </c>
      <c r="D4" s="5" t="s">
        <v>266</v>
      </c>
      <c r="E4" s="4" t="s">
        <v>267</v>
      </c>
      <c r="F4" s="5" t="s">
        <v>268</v>
      </c>
      <c r="G4" s="4" t="s">
        <v>269</v>
      </c>
      <c r="H4" s="4" t="s">
        <v>270</v>
      </c>
      <c r="I4" s="4" t="s">
        <v>271</v>
      </c>
    </row>
    <row r="5" customFormat="false" ht="15" hidden="false" customHeight="true" outlineLevel="0" collapsed="false">
      <c r="A5" s="13" t="s">
        <v>272</v>
      </c>
      <c r="B5" s="18" t="s">
        <v>273</v>
      </c>
      <c r="C5" s="18"/>
      <c r="D5" s="19"/>
      <c r="E5" s="19"/>
      <c r="F5" s="19"/>
      <c r="G5" s="19"/>
      <c r="H5" s="19"/>
      <c r="I5" s="19"/>
    </row>
    <row r="6" customFormat="false" ht="15" hidden="false" customHeight="true" outlineLevel="0" collapsed="false">
      <c r="A6" s="13" t="s">
        <v>274</v>
      </c>
      <c r="B6" s="18"/>
      <c r="C6" s="18"/>
      <c r="D6" s="19" t="s">
        <v>273</v>
      </c>
      <c r="E6" s="19" t="s">
        <v>273</v>
      </c>
      <c r="F6" s="19"/>
      <c r="G6" s="19"/>
      <c r="H6" s="19" t="s">
        <v>273</v>
      </c>
      <c r="I6" s="19"/>
    </row>
    <row r="7" customFormat="false" ht="15" hidden="false" customHeight="true" outlineLevel="0" collapsed="false">
      <c r="A7" s="17" t="s">
        <v>275</v>
      </c>
      <c r="B7" s="18"/>
      <c r="C7" s="18"/>
      <c r="D7" s="19"/>
      <c r="E7" s="19" t="s">
        <v>273</v>
      </c>
      <c r="F7" s="19"/>
      <c r="G7" s="19"/>
      <c r="H7" s="19" t="s">
        <v>273</v>
      </c>
      <c r="I7" s="19" t="s">
        <v>273</v>
      </c>
    </row>
    <row r="8" customFormat="false" ht="15" hidden="false" customHeight="true" outlineLevel="0" collapsed="false">
      <c r="A8" s="13" t="s">
        <v>276</v>
      </c>
      <c r="B8" s="18"/>
      <c r="C8" s="18"/>
      <c r="D8" s="19" t="s">
        <v>273</v>
      </c>
      <c r="E8" s="19"/>
      <c r="F8" s="19"/>
      <c r="G8" s="19"/>
      <c r="H8" s="19"/>
      <c r="I8" s="19" t="s">
        <v>273</v>
      </c>
    </row>
    <row r="9" customFormat="false" ht="15" hidden="false" customHeight="true" outlineLevel="0" collapsed="false">
      <c r="A9" s="13" t="s">
        <v>277</v>
      </c>
      <c r="B9" s="18"/>
      <c r="C9" s="18" t="s">
        <v>273</v>
      </c>
      <c r="D9" s="19"/>
      <c r="E9" s="19"/>
      <c r="F9" s="19"/>
      <c r="G9" s="19"/>
      <c r="H9" s="19" t="s">
        <v>273</v>
      </c>
      <c r="I9" s="19" t="s">
        <v>273</v>
      </c>
    </row>
    <row r="10" customFormat="false" ht="15" hidden="false" customHeight="true" outlineLevel="0" collapsed="false">
      <c r="A10" s="13" t="s">
        <v>278</v>
      </c>
      <c r="B10" s="18" t="s">
        <v>273</v>
      </c>
      <c r="C10" s="18"/>
      <c r="D10" s="19"/>
      <c r="E10" s="19"/>
      <c r="F10" s="19" t="s">
        <v>273</v>
      </c>
      <c r="G10" s="19"/>
      <c r="H10" s="19"/>
      <c r="I10" s="19"/>
    </row>
    <row r="11" customFormat="false" ht="15" hidden="false" customHeight="true" outlineLevel="0" collapsed="false">
      <c r="A11" s="13" t="s">
        <v>279</v>
      </c>
      <c r="B11" s="18"/>
      <c r="C11" s="18"/>
      <c r="D11" s="19"/>
      <c r="E11" s="19"/>
      <c r="F11" s="19" t="s">
        <v>273</v>
      </c>
      <c r="G11" s="19" t="s">
        <v>273</v>
      </c>
      <c r="H11" s="19" t="s">
        <v>273</v>
      </c>
      <c r="I11" s="19"/>
    </row>
    <row r="12" customFormat="false" ht="15" hidden="false" customHeight="true" outlineLevel="0" collapsed="false">
      <c r="A12" s="13" t="s">
        <v>280</v>
      </c>
      <c r="B12" s="18"/>
      <c r="C12" s="18" t="s">
        <v>273</v>
      </c>
      <c r="D12" s="19" t="s">
        <v>273</v>
      </c>
      <c r="E12" s="19"/>
      <c r="F12" s="19"/>
      <c r="G12" s="19"/>
      <c r="H12" s="19"/>
      <c r="I12" s="19"/>
    </row>
    <row r="13" customFormat="false" ht="15" hidden="false" customHeight="true" outlineLevel="0" collapsed="false">
      <c r="A13" s="13" t="s">
        <v>281</v>
      </c>
      <c r="B13" s="18"/>
      <c r="C13" s="18"/>
      <c r="D13" s="19" t="s">
        <v>273</v>
      </c>
      <c r="E13" s="19"/>
      <c r="F13" s="19"/>
      <c r="G13" s="19"/>
      <c r="H13" s="19" t="s">
        <v>273</v>
      </c>
      <c r="I13" s="19"/>
    </row>
    <row r="14" customFormat="false" ht="15" hidden="false" customHeight="true" outlineLevel="0" collapsed="false">
      <c r="A14" s="17" t="s">
        <v>282</v>
      </c>
      <c r="B14" s="18"/>
      <c r="C14" s="18"/>
      <c r="D14" s="19" t="s">
        <v>273</v>
      </c>
      <c r="E14" s="19" t="s">
        <v>273</v>
      </c>
      <c r="F14" s="19"/>
      <c r="G14" s="19" t="s">
        <v>273</v>
      </c>
      <c r="H14" s="19"/>
      <c r="I14" s="19" t="s">
        <v>273</v>
      </c>
    </row>
    <row r="15" customFormat="false" ht="15" hidden="false" customHeight="true" outlineLevel="0" collapsed="false">
      <c r="A15" s="13" t="s">
        <v>283</v>
      </c>
      <c r="B15" s="18"/>
      <c r="C15" s="18"/>
      <c r="D15" s="19" t="s">
        <v>273</v>
      </c>
      <c r="E15" s="19" t="s">
        <v>273</v>
      </c>
      <c r="F15" s="19" t="s">
        <v>273</v>
      </c>
      <c r="G15" s="19" t="s">
        <v>273</v>
      </c>
      <c r="H15" s="19"/>
      <c r="I15" s="19" t="s">
        <v>273</v>
      </c>
    </row>
    <row r="16" customFormat="false" ht="26.25" hidden="false" customHeight="true" outlineLevel="0" collapsed="false">
      <c r="A16" s="13" t="s">
        <v>284</v>
      </c>
      <c r="B16" s="18" t="s">
        <v>273</v>
      </c>
      <c r="C16" s="18" t="s">
        <v>273</v>
      </c>
      <c r="D16" s="19" t="s">
        <v>273</v>
      </c>
      <c r="E16" s="19"/>
      <c r="F16" s="19" t="s">
        <v>273</v>
      </c>
      <c r="G16" s="19" t="s">
        <v>273</v>
      </c>
      <c r="H16" s="19"/>
      <c r="I16" s="19" t="s">
        <v>273</v>
      </c>
    </row>
    <row r="17" customFormat="false" ht="15" hidden="false" customHeight="true" outlineLevel="0" collapsed="false">
      <c r="A17" s="20" t="s">
        <v>285</v>
      </c>
      <c r="B17" s="21" t="n">
        <f aca="false">COUNTIF(B5:B16,"○")</f>
        <v>3</v>
      </c>
      <c r="C17" s="21" t="n">
        <f aca="false">COUNTIF(C5:C16,"○")</f>
        <v>3</v>
      </c>
      <c r="D17" s="21" t="n">
        <f aca="false">COUNTIF(D5:D16,"○")</f>
        <v>7</v>
      </c>
      <c r="E17" s="21" t="n">
        <f aca="false">COUNTIF(E5:E16,"○")</f>
        <v>4</v>
      </c>
      <c r="F17" s="21" t="n">
        <f aca="false">COUNTIF(F5:F16,"○")</f>
        <v>4</v>
      </c>
      <c r="G17" s="21" t="n">
        <f aca="false">COUNTIF(G5:G16,"○")</f>
        <v>4</v>
      </c>
      <c r="H17" s="21" t="n">
        <f aca="false">COUNTIF(H5:H16,"○")</f>
        <v>5</v>
      </c>
      <c r="I17" s="21" t="n">
        <f aca="false">COUNTIF(I5:I16,"○")</f>
        <v>6</v>
      </c>
    </row>
    <row r="19" customFormat="false" ht="15" hidden="false" customHeight="true" outlineLevel="0" collapsed="false">
      <c r="A19" s="22" t="s">
        <v>286</v>
      </c>
    </row>
    <row r="20" customFormat="false" ht="15" hidden="false" customHeight="true" outlineLevel="0" collapsed="false">
      <c r="A20" s="23" t="s">
        <v>287</v>
      </c>
    </row>
    <row r="21" customFormat="false" ht="15" hidden="false" customHeight="true" outlineLevel="0" collapsed="false">
      <c r="A21" s="23" t="s">
        <v>288</v>
      </c>
    </row>
    <row r="22" customFormat="false" ht="15" hidden="false" customHeight="true" outlineLevel="0" collapsed="false">
      <c r="A22" s="23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4" min="2" style="1" width="13"/>
    <col collapsed="false" customWidth="true" hidden="false" outlineLevel="0" max="5" min="5" style="1" width="14"/>
    <col collapsed="false" customWidth="true" hidden="false" outlineLevel="0" max="6" min="6" style="1" width="15"/>
    <col collapsed="false" customWidth="true" hidden="false" outlineLevel="0" max="7" min="7" style="1" width="9"/>
    <col collapsed="false" customWidth="true" hidden="false" outlineLevel="0" max="12" min="8" style="1" width="11"/>
  </cols>
  <sheetData>
    <row r="1" customFormat="false" ht="18.7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4" t="s">
        <v>80</v>
      </c>
      <c r="B4" s="5" t="s">
        <v>292</v>
      </c>
      <c r="C4" s="5" t="s">
        <v>293</v>
      </c>
      <c r="D4" s="5" t="s">
        <v>87</v>
      </c>
      <c r="E4" s="5" t="s">
        <v>294</v>
      </c>
      <c r="F4" s="4" t="s">
        <v>295</v>
      </c>
      <c r="G4" s="4" t="s">
        <v>296</v>
      </c>
      <c r="H4" s="5" t="s">
        <v>297</v>
      </c>
      <c r="I4" s="5" t="s">
        <v>298</v>
      </c>
      <c r="J4" s="5" t="s">
        <v>299</v>
      </c>
      <c r="K4" s="5" t="s">
        <v>300</v>
      </c>
      <c r="L4" s="4" t="s">
        <v>301</v>
      </c>
    </row>
    <row r="5" customFormat="false" ht="15" hidden="false" customHeight="true" outlineLevel="0" collapsed="false">
      <c r="A5" s="24" t="s">
        <v>3</v>
      </c>
      <c r="B5" s="25" t="n">
        <v>201000</v>
      </c>
      <c r="C5" s="25" t="n">
        <v>59700</v>
      </c>
      <c r="D5" s="25" t="n">
        <v>319400</v>
      </c>
      <c r="E5" s="25" t="n">
        <v>630000</v>
      </c>
      <c r="F5" s="26" t="n">
        <f aca="false">SUM(B5:E5)</f>
        <v>1210100</v>
      </c>
      <c r="G5" s="27" t="n">
        <f aca="false">COUNT(B5:E5)</f>
        <v>4</v>
      </c>
      <c r="H5" s="28" t="n">
        <f aca="false">IF(AND(ISNUMBER(B5),ISNUMBER(B$5)),B5/B$5,"-")</f>
        <v>1</v>
      </c>
      <c r="I5" s="28" t="n">
        <f aca="false">IF(AND(ISNUMBER(C5),ISNUMBER(C$5)),C5/C$5,"-")</f>
        <v>1</v>
      </c>
      <c r="J5" s="28" t="n">
        <f aca="false">IF(AND(ISNUMBER(D5),ISNUMBER(D$5)),D5/D$5,"-")</f>
        <v>1</v>
      </c>
      <c r="K5" s="28" t="n">
        <f aca="false">IF(AND(ISNUMBER(E5),ISNUMBER(E$5)),E5/E$5,"-")</f>
        <v>1</v>
      </c>
      <c r="L5" s="28" t="n">
        <f aca="false">IF(AND(ISNUMBER(F5),ISNUMBER(F$5)),F5/F$5,"-")</f>
        <v>1</v>
      </c>
    </row>
    <row r="6" customFormat="false" ht="15" hidden="false" customHeight="true" outlineLevel="0" collapsed="false">
      <c r="A6" s="29" t="s">
        <v>4</v>
      </c>
      <c r="B6" s="30" t="n">
        <v>2108231</v>
      </c>
      <c r="C6" s="30" t="n">
        <v>1367707</v>
      </c>
      <c r="D6" s="30" t="n">
        <v>1000000</v>
      </c>
      <c r="E6" s="30" t="n">
        <v>6740000</v>
      </c>
      <c r="F6" s="31" t="n">
        <f aca="false">SUM(B6:E6)</f>
        <v>11215938</v>
      </c>
      <c r="G6" s="32" t="n">
        <f aca="false">COUNT(B6:E6)</f>
        <v>4</v>
      </c>
      <c r="H6" s="33" t="n">
        <f aca="false">IF(AND(ISNUMBER(B6),ISNUMBER(B$5)),B6/B$5,"-")</f>
        <v>10.4887114427861</v>
      </c>
      <c r="I6" s="33" t="n">
        <f aca="false">IF(AND(ISNUMBER(C6),ISNUMBER(C$5)),C6/C$5,"-")</f>
        <v>22.9096649916248</v>
      </c>
      <c r="J6" s="33" t="n">
        <f aca="false">IF(AND(ISNUMBER(D6),ISNUMBER(D$5)),D6/D$5,"-")</f>
        <v>3.13087038196619</v>
      </c>
      <c r="K6" s="33" t="n">
        <f aca="false">IF(AND(ISNUMBER(E6),ISNUMBER(E$5)),E6/E$5,"-")</f>
        <v>10.6984126984127</v>
      </c>
      <c r="L6" s="33" t="n">
        <f aca="false">IF(AND(ISNUMBER(F6),ISNUMBER(F$5)),F6/F$5,"-")</f>
        <v>9.26860424758285</v>
      </c>
    </row>
    <row r="7" customFormat="false" ht="15" hidden="false" customHeight="true" outlineLevel="0" collapsed="false">
      <c r="A7" s="20" t="s">
        <v>5</v>
      </c>
      <c r="B7" s="30" t="n">
        <v>3376751</v>
      </c>
      <c r="C7" s="30"/>
      <c r="D7" s="30" t="n">
        <v>1200000</v>
      </c>
      <c r="E7" s="30" t="n">
        <v>5510000</v>
      </c>
      <c r="F7" s="31" t="n">
        <f aca="false">SUM(B7:E7)</f>
        <v>10086751</v>
      </c>
      <c r="G7" s="32" t="n">
        <f aca="false">COUNT(B7:E7)</f>
        <v>3</v>
      </c>
      <c r="H7" s="33" t="n">
        <f aca="false">IF(AND(ISNUMBER(B7),ISNUMBER(B$5)),B7/B$5,"-")</f>
        <v>16.7997562189055</v>
      </c>
      <c r="I7" s="33" t="str">
        <f aca="false">IF(AND(ISNUMBER(C7),ISNUMBER(C$5)),C7/C$5,"-")</f>
        <v>-</v>
      </c>
      <c r="J7" s="33" t="n">
        <f aca="false">IF(AND(ISNUMBER(D7),ISNUMBER(D$5)),D7/D$5,"-")</f>
        <v>3.75704445835942</v>
      </c>
      <c r="K7" s="33" t="n">
        <f aca="false">IF(AND(ISNUMBER(E7),ISNUMBER(E$5)),E7/E$5,"-")</f>
        <v>8.74603174603175</v>
      </c>
      <c r="L7" s="33" t="n">
        <f aca="false">IF(AND(ISNUMBER(F7),ISNUMBER(F$5)),F7/F$5,"-")</f>
        <v>8.33546896950665</v>
      </c>
    </row>
    <row r="8" customFormat="false" ht="15" hidden="false" customHeight="true" outlineLevel="0" collapsed="false">
      <c r="A8" s="29" t="s">
        <v>6</v>
      </c>
      <c r="B8" s="30" t="n">
        <v>1100000</v>
      </c>
      <c r="C8" s="30" t="n">
        <v>745000</v>
      </c>
      <c r="D8" s="30" t="n">
        <v>99300</v>
      </c>
      <c r="E8" s="30" t="n">
        <v>2600000</v>
      </c>
      <c r="F8" s="31" t="n">
        <f aca="false">SUM(B8:E8)</f>
        <v>4544300</v>
      </c>
      <c r="G8" s="32" t="n">
        <f aca="false">COUNT(B8:E8)</f>
        <v>4</v>
      </c>
      <c r="H8" s="33" t="n">
        <f aca="false">IF(AND(ISNUMBER(B8),ISNUMBER(B$5)),B8/B$5,"-")</f>
        <v>5.4726368159204</v>
      </c>
      <c r="I8" s="33" t="n">
        <f aca="false">IF(AND(ISNUMBER(C8),ISNUMBER(C$5)),C8/C$5,"-")</f>
        <v>12.4790619765494</v>
      </c>
      <c r="J8" s="33" t="n">
        <f aca="false">IF(AND(ISNUMBER(D8),ISNUMBER(D$5)),D8/D$5,"-")</f>
        <v>0.310895428929242</v>
      </c>
      <c r="K8" s="33" t="n">
        <f aca="false">IF(AND(ISNUMBER(E8),ISNUMBER(E$5)),E8/E$5,"-")</f>
        <v>4.12698412698413</v>
      </c>
      <c r="L8" s="33" t="n">
        <f aca="false">IF(AND(ISNUMBER(F8),ISNUMBER(F$5)),F8/F$5,"-")</f>
        <v>3.75530947855549</v>
      </c>
    </row>
    <row r="9" customFormat="false" ht="15" hidden="false" customHeight="true" outlineLevel="0" collapsed="false">
      <c r="A9" s="20" t="s">
        <v>7</v>
      </c>
      <c r="B9" s="30" t="n">
        <v>867800</v>
      </c>
      <c r="C9" s="30" t="n">
        <v>297300</v>
      </c>
      <c r="D9" s="30" t="n">
        <v>797500</v>
      </c>
      <c r="E9" s="30" t="n">
        <v>2600000</v>
      </c>
      <c r="F9" s="31" t="n">
        <f aca="false">SUM(B9:E9)</f>
        <v>4562600</v>
      </c>
      <c r="G9" s="32" t="n">
        <f aca="false">COUNT(B9:E9)</f>
        <v>4</v>
      </c>
      <c r="H9" s="33" t="n">
        <f aca="false">IF(AND(ISNUMBER(B9),ISNUMBER(B$5)),B9/B$5,"-")</f>
        <v>4.31741293532338</v>
      </c>
      <c r="I9" s="33" t="n">
        <f aca="false">IF(AND(ISNUMBER(C9),ISNUMBER(C$5)),C9/C$5,"-")</f>
        <v>4.97989949748744</v>
      </c>
      <c r="J9" s="33" t="n">
        <f aca="false">IF(AND(ISNUMBER(D9),ISNUMBER(D$5)),D9/D$5,"-")</f>
        <v>2.49686912961803</v>
      </c>
      <c r="K9" s="33" t="n">
        <f aca="false">IF(AND(ISNUMBER(E9),ISNUMBER(E$5)),E9/E$5,"-")</f>
        <v>4.12698412698413</v>
      </c>
      <c r="L9" s="33" t="n">
        <f aca="false">IF(AND(ISNUMBER(F9),ISNUMBER(F$5)),F9/F$5,"-")</f>
        <v>3.77043219568631</v>
      </c>
    </row>
    <row r="10" customFormat="false" ht="15" hidden="false" customHeight="true" outlineLevel="0" collapsed="false">
      <c r="A10" s="20" t="s">
        <v>8</v>
      </c>
      <c r="B10" s="30"/>
      <c r="C10" s="30"/>
      <c r="D10" s="30"/>
      <c r="E10" s="30" t="n">
        <v>2290000</v>
      </c>
      <c r="F10" s="31" t="n">
        <f aca="false">SUM(B10:E10)</f>
        <v>2290000</v>
      </c>
      <c r="G10" s="32" t="n">
        <f aca="false">COUNT(B10:E10)</f>
        <v>1</v>
      </c>
      <c r="H10" s="33" t="str">
        <f aca="false">IF(AND(ISNUMBER(B10),ISNUMBER(B$5)),B10/B$5,"-")</f>
        <v>-</v>
      </c>
      <c r="I10" s="33" t="str">
        <f aca="false">IF(AND(ISNUMBER(C10),ISNUMBER(C$5)),C10/C$5,"-")</f>
        <v>-</v>
      </c>
      <c r="J10" s="33" t="str">
        <f aca="false">IF(AND(ISNUMBER(D10),ISNUMBER(D$5)),D10/D$5,"-")</f>
        <v>-</v>
      </c>
      <c r="K10" s="33" t="n">
        <f aca="false">IF(AND(ISNUMBER(E10),ISNUMBER(E$5)),E10/E$5,"-")</f>
        <v>3.63492063492064</v>
      </c>
      <c r="L10" s="33" t="n">
        <f aca="false">IF(AND(ISNUMBER(F10),ISNUMBER(F$5)),F10/F$5,"-")</f>
        <v>1.89240558631518</v>
      </c>
    </row>
    <row r="11" customFormat="false" ht="15" hidden="false" customHeight="true" outlineLevel="0" collapsed="false">
      <c r="A11" s="20" t="s">
        <v>9</v>
      </c>
      <c r="B11" s="30" t="n">
        <v>500000</v>
      </c>
      <c r="C11" s="30" t="n">
        <v>328000</v>
      </c>
      <c r="D11" s="30"/>
      <c r="E11" s="30" t="n">
        <v>597000</v>
      </c>
      <c r="F11" s="31" t="n">
        <f aca="false">SUM(B11:E11)</f>
        <v>1425000</v>
      </c>
      <c r="G11" s="32" t="n">
        <f aca="false">COUNT(B11:E11)</f>
        <v>3</v>
      </c>
      <c r="H11" s="33" t="n">
        <f aca="false">IF(AND(ISNUMBER(B11),ISNUMBER(B$5)),B11/B$5,"-")</f>
        <v>2.48756218905473</v>
      </c>
      <c r="I11" s="33" t="n">
        <f aca="false">IF(AND(ISNUMBER(C11),ISNUMBER(C$5)),C11/C$5,"-")</f>
        <v>5.49413735343384</v>
      </c>
      <c r="J11" s="33" t="str">
        <f aca="false">IF(AND(ISNUMBER(D11),ISNUMBER(D$5)),D11/D$5,"-")</f>
        <v>-</v>
      </c>
      <c r="K11" s="33" t="n">
        <f aca="false">IF(AND(ISNUMBER(E11),ISNUMBER(E$5)),E11/E$5,"-")</f>
        <v>0.947619047619048</v>
      </c>
      <c r="L11" s="33" t="n">
        <f aca="false">IF(AND(ISNUMBER(F11),ISNUMBER(F$5)),F11/F$5,"-")</f>
        <v>1.17758862903892</v>
      </c>
    </row>
    <row r="12" customFormat="false" ht="15" hidden="false" customHeight="true" outlineLevel="0" collapsed="false">
      <c r="A12" s="6" t="s">
        <v>302</v>
      </c>
      <c r="B12" s="34" t="n">
        <f aca="false">IFERROR(AVERAGE(B6:B11),"-")</f>
        <v>1590556.4</v>
      </c>
      <c r="C12" s="34" t="n">
        <f aca="false">IFERROR(AVERAGE(C6:C11),"-")</f>
        <v>684501.75</v>
      </c>
      <c r="D12" s="34" t="n">
        <f aca="false">IFERROR(AVERAGE(D6:D11),"-")</f>
        <v>774200</v>
      </c>
      <c r="E12" s="34" t="n">
        <f aca="false">IFERROR(AVERAGE(E6:E11),"-")</f>
        <v>3389500</v>
      </c>
      <c r="F12" s="34" t="n">
        <f aca="false">IFERROR(AVERAGE(F6:F11),"-")</f>
        <v>5687431.5</v>
      </c>
      <c r="G12" s="35"/>
      <c r="H12" s="36" t="n">
        <f aca="false">IF(ISNUMBER(B12),B12/B$5,"-")</f>
        <v>7.91321592039801</v>
      </c>
      <c r="I12" s="36" t="n">
        <f aca="false">IF(ISNUMBER(C12),C12/C$5,"-")</f>
        <v>11.4656909547739</v>
      </c>
      <c r="J12" s="36" t="n">
        <f aca="false">IF(ISNUMBER(D12),D12/D$5,"-")</f>
        <v>2.42391984971822</v>
      </c>
      <c r="K12" s="36" t="n">
        <f aca="false">IF(ISNUMBER(E12),E12/E$5,"-")</f>
        <v>5.38015873015873</v>
      </c>
      <c r="L12" s="36" t="n">
        <f aca="false">IF(ISNUMBER(F12),F12/F$5,"-")</f>
        <v>4.69996818444757</v>
      </c>
    </row>
    <row r="13" customFormat="false" ht="15" hidden="false" customHeight="true" outlineLevel="0" collapsed="false">
      <c r="A13" s="29" t="s">
        <v>303</v>
      </c>
      <c r="B13" s="37" t="str">
        <f aca="false">IF(ISNUMBER(B5),RANK(B5,B5:B11)&amp;"位 / "&amp;COUNT(B5:B11)&amp;"組","-")</f>
        <v>6位 / 6組</v>
      </c>
      <c r="C13" s="37" t="str">
        <f aca="false">IF(ISNUMBER(C5),RANK(C5,C5:C11)&amp;"位 / "&amp;COUNT(C5:C11)&amp;"組","-")</f>
        <v>5位 / 5組</v>
      </c>
      <c r="D13" s="37" t="str">
        <f aca="false">IF(ISNUMBER(D5),RANK(D5,D5:D11)&amp;"位 / "&amp;COUNT(D5:D11)&amp;"組","-")</f>
        <v>4位 / 5組</v>
      </c>
      <c r="E13" s="37" t="str">
        <f aca="false">IF(ISNUMBER(E5),RANK(E5,E5:E11)&amp;"位 / "&amp;COUNT(E5:E11)&amp;"組","-")</f>
        <v>6位 / 7組</v>
      </c>
      <c r="F13" s="37"/>
      <c r="G13" s="37"/>
      <c r="H13" s="37"/>
      <c r="I13" s="37"/>
      <c r="J13" s="37"/>
      <c r="K13" s="37"/>
      <c r="L13" s="37"/>
    </row>
    <row r="15" customFormat="false" ht="15" hidden="false" customHeight="true" outlineLevel="0" collapsed="false">
      <c r="A15" s="22" t="s">
        <v>304</v>
      </c>
    </row>
    <row r="16" customFormat="false" ht="15" hidden="false" customHeight="true" outlineLevel="0" collapsed="false">
      <c r="A16" s="23" t="s">
        <v>305</v>
      </c>
    </row>
    <row r="17" customFormat="false" ht="15" hidden="false" customHeight="true" outlineLevel="0" collapsed="false">
      <c r="A17" s="23" t="s">
        <v>306</v>
      </c>
    </row>
    <row r="18" customFormat="false" ht="15" hidden="false" customHeight="true" outlineLevel="0" collapsed="false">
      <c r="A18" s="23" t="s">
        <v>307</v>
      </c>
    </row>
    <row r="19" customFormat="false" ht="15" hidden="false" customHeight="true" outlineLevel="0" collapsed="false">
      <c r="A19" s="23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14"/>
    <col collapsed="false" customWidth="true" hidden="false" outlineLevel="0" max="4" min="4" style="1" width="60"/>
    <col collapsed="false" customWidth="true" hidden="false" outlineLevel="0" max="5" min="5" style="1" width="20"/>
    <col collapsed="false" customWidth="true" hidden="false" outlineLevel="0" max="6" min="6" style="1" width="44"/>
  </cols>
  <sheetData>
    <row r="1" customFormat="false" ht="18.75" hidden="false" customHeight="true" outlineLevel="0" collapsed="false">
      <c r="A1" s="2" t="s">
        <v>309</v>
      </c>
    </row>
    <row r="2" customFormat="false" ht="15" hidden="false" customHeight="true" outlineLevel="0" collapsed="false">
      <c r="A2" s="38" t="s">
        <v>310</v>
      </c>
    </row>
    <row r="4" customFormat="false" ht="26.25" hidden="false" customHeight="true" outlineLevel="0" collapsed="false">
      <c r="A4" s="4" t="s">
        <v>80</v>
      </c>
      <c r="B4" s="4" t="s">
        <v>82</v>
      </c>
      <c r="C4" s="4" t="s">
        <v>311</v>
      </c>
      <c r="D4" s="4" t="s">
        <v>83</v>
      </c>
      <c r="E4" s="4" t="s">
        <v>312</v>
      </c>
      <c r="F4" s="4" t="s">
        <v>313</v>
      </c>
    </row>
    <row r="5" customFormat="false" ht="26.25" hidden="false" customHeight="true" outlineLevel="0" collapsed="false">
      <c r="A5" s="9" t="s">
        <v>3</v>
      </c>
      <c r="B5" s="16" t="s">
        <v>87</v>
      </c>
      <c r="C5" s="16" t="s">
        <v>86</v>
      </c>
      <c r="D5" s="12" t="s">
        <v>314</v>
      </c>
      <c r="E5" s="12" t="s">
        <v>315</v>
      </c>
      <c r="F5" s="12" t="s">
        <v>316</v>
      </c>
    </row>
    <row r="6" customFormat="false" ht="26.25" hidden="false" customHeight="true" outlineLevel="0" collapsed="false">
      <c r="A6" s="9" t="s">
        <v>3</v>
      </c>
      <c r="B6" s="16" t="s">
        <v>317</v>
      </c>
      <c r="C6" s="16" t="s">
        <v>318</v>
      </c>
      <c r="D6" s="12" t="s">
        <v>319</v>
      </c>
      <c r="E6" s="12" t="s">
        <v>320</v>
      </c>
      <c r="F6" s="12" t="s">
        <v>321</v>
      </c>
    </row>
    <row r="7" customFormat="false" ht="26.25" hidden="false" customHeight="true" outlineLevel="0" collapsed="false">
      <c r="A7" s="9" t="s">
        <v>3</v>
      </c>
      <c r="B7" s="16" t="s">
        <v>322</v>
      </c>
      <c r="C7" s="16" t="s">
        <v>127</v>
      </c>
      <c r="D7" s="12" t="s">
        <v>323</v>
      </c>
      <c r="E7" s="16" t="s">
        <v>324</v>
      </c>
      <c r="F7" s="16" t="s">
        <v>325</v>
      </c>
    </row>
    <row r="8" customFormat="false" ht="26.25" hidden="false" customHeight="true" outlineLevel="0" collapsed="false">
      <c r="A8" s="9" t="s">
        <v>3</v>
      </c>
      <c r="B8" s="16" t="s">
        <v>87</v>
      </c>
      <c r="C8" s="12" t="s">
        <v>326</v>
      </c>
      <c r="D8" s="12" t="s">
        <v>327</v>
      </c>
      <c r="E8" s="12" t="s">
        <v>328</v>
      </c>
      <c r="F8" s="16" t="s">
        <v>329</v>
      </c>
    </row>
    <row r="9" customFormat="false" ht="26.25" hidden="false" customHeight="true" outlineLevel="0" collapsed="false">
      <c r="A9" s="9" t="s">
        <v>3</v>
      </c>
      <c r="B9" s="12" t="s">
        <v>330</v>
      </c>
      <c r="C9" s="16" t="s">
        <v>134</v>
      </c>
      <c r="D9" s="16" t="s">
        <v>331</v>
      </c>
      <c r="E9" s="12" t="s">
        <v>332</v>
      </c>
      <c r="F9" s="16" t="s">
        <v>333</v>
      </c>
    </row>
    <row r="10" customFormat="false" ht="15" hidden="false" customHeight="true" outlineLevel="0" collapsed="false">
      <c r="A10" s="15" t="s">
        <v>4</v>
      </c>
      <c r="B10" s="17" t="s">
        <v>334</v>
      </c>
      <c r="C10" s="17" t="s">
        <v>335</v>
      </c>
      <c r="D10" s="13" t="s">
        <v>336</v>
      </c>
      <c r="E10" s="13" t="s">
        <v>337</v>
      </c>
      <c r="F10" s="13" t="s">
        <v>338</v>
      </c>
    </row>
    <row r="11" customFormat="false" ht="26.25" hidden="false" customHeight="true" outlineLevel="0" collapsed="false">
      <c r="A11" s="15" t="s">
        <v>4</v>
      </c>
      <c r="B11" s="17" t="s">
        <v>87</v>
      </c>
      <c r="C11" s="17" t="s">
        <v>339</v>
      </c>
      <c r="D11" s="13" t="s">
        <v>340</v>
      </c>
      <c r="E11" s="13" t="s">
        <v>341</v>
      </c>
      <c r="F11" s="13" t="s">
        <v>342</v>
      </c>
    </row>
    <row r="12" customFormat="false" ht="26.25" hidden="false" customHeight="true" outlineLevel="0" collapsed="false">
      <c r="A12" s="15" t="s">
        <v>4</v>
      </c>
      <c r="B12" s="17" t="s">
        <v>185</v>
      </c>
      <c r="C12" s="17" t="s">
        <v>343</v>
      </c>
      <c r="D12" s="13" t="s">
        <v>344</v>
      </c>
      <c r="E12" s="17" t="s">
        <v>345</v>
      </c>
      <c r="F12" s="13" t="s">
        <v>346</v>
      </c>
    </row>
    <row r="13" customFormat="false" ht="26.25" hidden="false" customHeight="true" outlineLevel="0" collapsed="false">
      <c r="A13" s="15" t="s">
        <v>4</v>
      </c>
      <c r="B13" s="13" t="s">
        <v>347</v>
      </c>
      <c r="C13" s="17" t="s">
        <v>162</v>
      </c>
      <c r="D13" s="17" t="s">
        <v>348</v>
      </c>
      <c r="E13" s="13" t="s">
        <v>349</v>
      </c>
      <c r="F13" s="13" t="s">
        <v>350</v>
      </c>
    </row>
    <row r="14" customFormat="false" ht="15" hidden="false" customHeight="true" outlineLevel="0" collapsed="false">
      <c r="A14" s="15" t="s">
        <v>4</v>
      </c>
      <c r="B14" s="17" t="s">
        <v>293</v>
      </c>
      <c r="C14" s="17" t="s">
        <v>351</v>
      </c>
      <c r="D14" s="13" t="s">
        <v>352</v>
      </c>
      <c r="E14" s="13" t="s">
        <v>353</v>
      </c>
      <c r="F14" s="13" t="s">
        <v>354</v>
      </c>
    </row>
    <row r="15" customFormat="false" ht="15" hidden="false" customHeight="true" outlineLevel="0" collapsed="false">
      <c r="A15" s="14" t="s">
        <v>5</v>
      </c>
      <c r="B15" s="17" t="s">
        <v>292</v>
      </c>
      <c r="C15" s="17" t="s">
        <v>355</v>
      </c>
      <c r="D15" s="13" t="s">
        <v>356</v>
      </c>
      <c r="E15" s="13" t="s">
        <v>357</v>
      </c>
      <c r="F15" s="13" t="s">
        <v>358</v>
      </c>
    </row>
    <row r="16" customFormat="false" ht="26.25" hidden="false" customHeight="true" outlineLevel="0" collapsed="false">
      <c r="A16" s="14" t="s">
        <v>5</v>
      </c>
      <c r="B16" s="17" t="s">
        <v>359</v>
      </c>
      <c r="C16" s="17" t="s">
        <v>355</v>
      </c>
      <c r="D16" s="13" t="s">
        <v>360</v>
      </c>
      <c r="E16" s="13" t="s">
        <v>361</v>
      </c>
      <c r="F16" s="17" t="s">
        <v>362</v>
      </c>
    </row>
    <row r="17" customFormat="false" ht="15" hidden="false" customHeight="true" outlineLevel="0" collapsed="false">
      <c r="A17" s="14" t="s">
        <v>5</v>
      </c>
      <c r="B17" s="13" t="s">
        <v>363</v>
      </c>
      <c r="C17" s="17" t="s">
        <v>364</v>
      </c>
      <c r="D17" s="13" t="s">
        <v>365</v>
      </c>
      <c r="E17" s="13" t="s">
        <v>99</v>
      </c>
      <c r="F17" s="17" t="s">
        <v>366</v>
      </c>
    </row>
    <row r="18" customFormat="false" ht="26.25" hidden="false" customHeight="true" outlineLevel="0" collapsed="false">
      <c r="A18" s="14" t="s">
        <v>5</v>
      </c>
      <c r="B18" s="13" t="s">
        <v>367</v>
      </c>
      <c r="C18" s="17" t="s">
        <v>368</v>
      </c>
      <c r="D18" s="17" t="s">
        <v>369</v>
      </c>
      <c r="E18" s="13" t="s">
        <v>370</v>
      </c>
      <c r="F18" s="17" t="s">
        <v>371</v>
      </c>
    </row>
    <row r="19" customFormat="false" ht="15" hidden="false" customHeight="true" outlineLevel="0" collapsed="false">
      <c r="A19" s="15" t="s">
        <v>6</v>
      </c>
      <c r="B19" s="17" t="s">
        <v>293</v>
      </c>
      <c r="C19" s="17" t="s">
        <v>318</v>
      </c>
      <c r="D19" s="17" t="s">
        <v>372</v>
      </c>
      <c r="E19" s="13" t="s">
        <v>373</v>
      </c>
      <c r="F19" s="13" t="s">
        <v>374</v>
      </c>
    </row>
    <row r="20" customFormat="false" ht="26.25" hidden="false" customHeight="true" outlineLevel="0" collapsed="false">
      <c r="A20" s="15" t="s">
        <v>6</v>
      </c>
      <c r="B20" s="13" t="s">
        <v>375</v>
      </c>
      <c r="C20" s="17" t="s">
        <v>376</v>
      </c>
      <c r="D20" s="17" t="s">
        <v>377</v>
      </c>
      <c r="E20" s="13" t="s">
        <v>378</v>
      </c>
      <c r="F20" s="13" t="s">
        <v>379</v>
      </c>
    </row>
    <row r="21" customFormat="false" ht="26.25" hidden="false" customHeight="true" outlineLevel="0" collapsed="false">
      <c r="A21" s="15" t="s">
        <v>6</v>
      </c>
      <c r="B21" s="13" t="s">
        <v>375</v>
      </c>
      <c r="C21" s="13" t="s">
        <v>380</v>
      </c>
      <c r="D21" s="13" t="s">
        <v>381</v>
      </c>
      <c r="E21" s="13" t="s">
        <v>370</v>
      </c>
      <c r="F21" s="13" t="s">
        <v>382</v>
      </c>
    </row>
    <row r="22" customFormat="false" ht="15" hidden="false" customHeight="true" outlineLevel="0" collapsed="false">
      <c r="A22" s="14" t="s">
        <v>7</v>
      </c>
      <c r="B22" s="13" t="s">
        <v>363</v>
      </c>
      <c r="C22" s="17" t="s">
        <v>383</v>
      </c>
      <c r="D22" s="13" t="s">
        <v>384</v>
      </c>
      <c r="E22" s="13" t="s">
        <v>99</v>
      </c>
      <c r="F22" s="17" t="s">
        <v>137</v>
      </c>
    </row>
    <row r="23" customFormat="false" ht="26.25" hidden="false" customHeight="true" outlineLevel="0" collapsed="false">
      <c r="A23" s="14" t="s">
        <v>7</v>
      </c>
      <c r="B23" s="13" t="s">
        <v>375</v>
      </c>
      <c r="C23" s="17" t="s">
        <v>385</v>
      </c>
      <c r="D23" s="13" t="s">
        <v>386</v>
      </c>
      <c r="E23" s="13" t="s">
        <v>370</v>
      </c>
      <c r="F23" s="13" t="s">
        <v>387</v>
      </c>
    </row>
    <row r="24" customFormat="false" ht="26.25" hidden="false" customHeight="true" outlineLevel="0" collapsed="false">
      <c r="A24" s="14" t="s">
        <v>7</v>
      </c>
      <c r="B24" s="17" t="s">
        <v>185</v>
      </c>
      <c r="C24" s="13" t="s">
        <v>388</v>
      </c>
      <c r="D24" s="17" t="s">
        <v>389</v>
      </c>
      <c r="E24" s="13" t="s">
        <v>390</v>
      </c>
      <c r="F24" s="17" t="s">
        <v>391</v>
      </c>
    </row>
    <row r="25" customFormat="false" ht="26.25" hidden="false" customHeight="true" outlineLevel="0" collapsed="false">
      <c r="A25" s="14" t="s">
        <v>8</v>
      </c>
      <c r="B25" s="17" t="s">
        <v>87</v>
      </c>
      <c r="C25" s="17" t="s">
        <v>355</v>
      </c>
      <c r="D25" s="17" t="s">
        <v>392</v>
      </c>
      <c r="E25" s="13" t="s">
        <v>393</v>
      </c>
      <c r="F25" s="13" t="s">
        <v>394</v>
      </c>
    </row>
    <row r="26" customFormat="false" ht="15" hidden="false" customHeight="true" outlineLevel="0" collapsed="false">
      <c r="A26" s="14" t="s">
        <v>8</v>
      </c>
      <c r="B26" s="13" t="s">
        <v>375</v>
      </c>
      <c r="C26" s="17" t="s">
        <v>148</v>
      </c>
      <c r="D26" s="13" t="s">
        <v>395</v>
      </c>
      <c r="E26" s="13" t="s">
        <v>320</v>
      </c>
      <c r="F26" s="17" t="s">
        <v>137</v>
      </c>
    </row>
    <row r="27" customFormat="false" ht="26.25" hidden="false" customHeight="true" outlineLevel="0" collapsed="false">
      <c r="A27" s="14" t="s">
        <v>8</v>
      </c>
      <c r="B27" s="13" t="s">
        <v>375</v>
      </c>
      <c r="C27" s="17" t="s">
        <v>396</v>
      </c>
      <c r="D27" s="13" t="s">
        <v>397</v>
      </c>
      <c r="E27" s="13" t="s">
        <v>370</v>
      </c>
      <c r="F27" s="17" t="s">
        <v>137</v>
      </c>
    </row>
    <row r="28" customFormat="false" ht="15" hidden="false" customHeight="true" outlineLevel="0" collapsed="false">
      <c r="A28" s="14" t="s">
        <v>9</v>
      </c>
      <c r="B28" s="17" t="s">
        <v>185</v>
      </c>
      <c r="C28" s="17" t="s">
        <v>398</v>
      </c>
      <c r="D28" s="13" t="s">
        <v>399</v>
      </c>
      <c r="E28" s="17" t="s">
        <v>400</v>
      </c>
      <c r="F28" s="17" t="s">
        <v>137</v>
      </c>
    </row>
    <row r="29" customFormat="false" ht="26.25" hidden="false" customHeight="true" outlineLevel="0" collapsed="false">
      <c r="A29" s="14" t="s">
        <v>9</v>
      </c>
      <c r="B29" s="17" t="s">
        <v>293</v>
      </c>
      <c r="C29" s="17" t="s">
        <v>131</v>
      </c>
      <c r="D29" s="13" t="s">
        <v>401</v>
      </c>
      <c r="E29" s="13" t="s">
        <v>402</v>
      </c>
      <c r="F29" s="13" t="s">
        <v>403</v>
      </c>
    </row>
    <row r="30" customFormat="false" ht="15" hidden="false" customHeight="true" outlineLevel="0" collapsed="false">
      <c r="A30" s="14" t="s">
        <v>9</v>
      </c>
      <c r="B30" s="13" t="s">
        <v>404</v>
      </c>
      <c r="C30" s="17" t="s">
        <v>405</v>
      </c>
      <c r="D30" s="17" t="s">
        <v>406</v>
      </c>
      <c r="E30" s="17" t="s">
        <v>407</v>
      </c>
      <c r="F30" s="13" t="s">
        <v>408</v>
      </c>
    </row>
  </sheetData>
  <autoFilter ref="A4:F3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3" min="2" style="1" width="26"/>
    <col collapsed="false" customWidth="true" hidden="false" outlineLevel="0" max="4" min="4" style="1" width="22"/>
    <col collapsed="false" customWidth="true" hidden="false" outlineLevel="0" max="5" min="5" style="1" width="20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false" outlineLevel="0" max="8" min="8" style="1" width="34"/>
  </cols>
  <sheetData>
    <row r="1" customFormat="false" ht="17.25" hidden="false" customHeight="true" outlineLevel="0" collapsed="false">
      <c r="A1" s="2" t="s">
        <v>409</v>
      </c>
    </row>
    <row r="2" customFormat="false" ht="15" hidden="false" customHeight="true" outlineLevel="0" collapsed="false">
      <c r="A2" s="3" t="s">
        <v>410</v>
      </c>
    </row>
    <row r="4" customFormat="false" ht="15" hidden="false" customHeight="true" outlineLevel="0" collapsed="false">
      <c r="A4" s="4" t="s">
        <v>80</v>
      </c>
      <c r="B4" s="5" t="s">
        <v>292</v>
      </c>
      <c r="C4" s="5" t="s">
        <v>293</v>
      </c>
      <c r="D4" s="5" t="s">
        <v>87</v>
      </c>
      <c r="E4" s="5" t="s">
        <v>185</v>
      </c>
      <c r="F4" s="4" t="s">
        <v>367</v>
      </c>
      <c r="G4" s="4" t="s">
        <v>411</v>
      </c>
      <c r="H4" s="4" t="s">
        <v>412</v>
      </c>
    </row>
    <row r="5" customFormat="false" ht="26.25" hidden="false" customHeight="true" outlineLevel="0" collapsed="false">
      <c r="A5" s="9" t="s">
        <v>3</v>
      </c>
      <c r="B5" s="16" t="s">
        <v>413</v>
      </c>
      <c r="C5" s="16" t="s">
        <v>414</v>
      </c>
      <c r="D5" s="16" t="s">
        <v>414</v>
      </c>
      <c r="E5" s="16" t="s">
        <v>415</v>
      </c>
      <c r="F5" s="16" t="s">
        <v>416</v>
      </c>
      <c r="G5" s="12" t="s">
        <v>417</v>
      </c>
      <c r="H5" s="16" t="s">
        <v>418</v>
      </c>
    </row>
    <row r="6" customFormat="false" ht="26.25" hidden="false" customHeight="true" outlineLevel="0" collapsed="false">
      <c r="A6" s="15" t="s">
        <v>4</v>
      </c>
      <c r="B6" s="13" t="s">
        <v>419</v>
      </c>
      <c r="C6" s="13" t="s">
        <v>420</v>
      </c>
      <c r="D6" s="17" t="s">
        <v>421</v>
      </c>
      <c r="E6" s="13" t="s">
        <v>422</v>
      </c>
      <c r="F6" s="17" t="s">
        <v>423</v>
      </c>
      <c r="G6" s="13" t="s">
        <v>417</v>
      </c>
      <c r="H6" s="17" t="s">
        <v>424</v>
      </c>
    </row>
    <row r="7" customFormat="false" ht="26.25" hidden="false" customHeight="true" outlineLevel="0" collapsed="false">
      <c r="A7" s="14" t="s">
        <v>5</v>
      </c>
      <c r="B7" s="17" t="s">
        <v>425</v>
      </c>
      <c r="C7" s="17" t="s">
        <v>426</v>
      </c>
      <c r="D7" s="17" t="s">
        <v>427</v>
      </c>
      <c r="E7" s="17" t="s">
        <v>428</v>
      </c>
      <c r="F7" s="17" t="s">
        <v>429</v>
      </c>
      <c r="G7" s="13" t="s">
        <v>417</v>
      </c>
      <c r="H7" s="17" t="s">
        <v>137</v>
      </c>
    </row>
    <row r="8" customFormat="false" ht="26.25" hidden="false" customHeight="true" outlineLevel="0" collapsed="false">
      <c r="A8" s="15" t="s">
        <v>6</v>
      </c>
      <c r="B8" s="17" t="s">
        <v>430</v>
      </c>
      <c r="C8" s="13" t="s">
        <v>431</v>
      </c>
      <c r="D8" s="17" t="s">
        <v>432</v>
      </c>
      <c r="E8" s="17" t="s">
        <v>433</v>
      </c>
      <c r="F8" s="17" t="s">
        <v>434</v>
      </c>
      <c r="G8" s="13" t="s">
        <v>417</v>
      </c>
      <c r="H8" s="13" t="s">
        <v>435</v>
      </c>
    </row>
    <row r="9" customFormat="false" ht="26.25" hidden="false" customHeight="true" outlineLevel="0" collapsed="false">
      <c r="A9" s="14" t="s">
        <v>7</v>
      </c>
      <c r="B9" s="13" t="s">
        <v>436</v>
      </c>
      <c r="C9" s="17" t="s">
        <v>437</v>
      </c>
      <c r="D9" s="17" t="s">
        <v>438</v>
      </c>
      <c r="E9" s="13" t="s">
        <v>439</v>
      </c>
      <c r="F9" s="17" t="s">
        <v>440</v>
      </c>
      <c r="G9" s="13" t="s">
        <v>417</v>
      </c>
      <c r="H9" s="17" t="s">
        <v>137</v>
      </c>
    </row>
    <row r="10" customFormat="false" ht="26.25" hidden="false" customHeight="true" outlineLevel="0" collapsed="false">
      <c r="A10" s="14" t="s">
        <v>8</v>
      </c>
      <c r="B10" s="17" t="s">
        <v>441</v>
      </c>
      <c r="C10" s="17" t="s">
        <v>442</v>
      </c>
      <c r="D10" s="17" t="s">
        <v>443</v>
      </c>
      <c r="E10" s="13" t="s">
        <v>444</v>
      </c>
      <c r="F10" s="17" t="s">
        <v>445</v>
      </c>
      <c r="G10" s="13" t="s">
        <v>417</v>
      </c>
      <c r="H10" s="13" t="s">
        <v>446</v>
      </c>
    </row>
    <row r="11" customFormat="false" ht="26.25" hidden="false" customHeight="true" outlineLevel="0" collapsed="false">
      <c r="A11" s="14" t="s">
        <v>9</v>
      </c>
      <c r="B11" s="17" t="s">
        <v>447</v>
      </c>
      <c r="C11" s="17" t="s">
        <v>448</v>
      </c>
      <c r="D11" s="17" t="s">
        <v>449</v>
      </c>
      <c r="E11" s="13" t="s">
        <v>450</v>
      </c>
      <c r="F11" s="17" t="s">
        <v>451</v>
      </c>
      <c r="G11" s="13" t="s">
        <v>417</v>
      </c>
      <c r="H11" s="17" t="s">
        <v>452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36"/>
    <col collapsed="false" customWidth="true" hidden="false" outlineLevel="0" max="5" min="5" style="1" width="46"/>
  </cols>
  <sheetData>
    <row r="1" customFormat="false" ht="17.25" hidden="false" customHeight="true" outlineLevel="0" collapsed="false">
      <c r="A1" s="2" t="s">
        <v>453</v>
      </c>
    </row>
    <row r="2" customFormat="false" ht="15" hidden="false" customHeight="true" outlineLevel="0" collapsed="false">
      <c r="A2" s="3" t="s">
        <v>454</v>
      </c>
    </row>
    <row r="4" customFormat="false" ht="15" hidden="false" customHeight="true" outlineLevel="0" collapsed="false">
      <c r="A4" s="4" t="s">
        <v>80</v>
      </c>
      <c r="B4" s="4" t="s">
        <v>455</v>
      </c>
      <c r="C4" s="4" t="s">
        <v>456</v>
      </c>
      <c r="D4" s="4" t="s">
        <v>457</v>
      </c>
      <c r="E4" s="5" t="s">
        <v>458</v>
      </c>
    </row>
    <row r="5" customFormat="false" ht="26.25" hidden="false" customHeight="true" outlineLevel="0" collapsed="false">
      <c r="A5" s="9" t="s">
        <v>3</v>
      </c>
      <c r="B5" s="16" t="s">
        <v>459</v>
      </c>
      <c r="C5" s="12" t="s">
        <v>460</v>
      </c>
      <c r="D5" s="16" t="s">
        <v>461</v>
      </c>
      <c r="E5" s="12" t="s">
        <v>462</v>
      </c>
    </row>
    <row r="6" customFormat="false" ht="26.25" hidden="false" customHeight="true" outlineLevel="0" collapsed="false">
      <c r="A6" s="15" t="s">
        <v>4</v>
      </c>
      <c r="B6" s="17" t="s">
        <v>463</v>
      </c>
      <c r="C6" s="13" t="s">
        <v>464</v>
      </c>
      <c r="D6" s="13" t="s">
        <v>465</v>
      </c>
      <c r="E6" s="17" t="s">
        <v>466</v>
      </c>
    </row>
    <row r="7" customFormat="false" ht="26.25" hidden="false" customHeight="true" outlineLevel="0" collapsed="false">
      <c r="A7" s="14" t="s">
        <v>5</v>
      </c>
      <c r="B7" s="17" t="s">
        <v>467</v>
      </c>
      <c r="C7" s="17" t="s">
        <v>468</v>
      </c>
      <c r="D7" s="13" t="s">
        <v>469</v>
      </c>
      <c r="E7" s="17" t="s">
        <v>470</v>
      </c>
    </row>
    <row r="8" customFormat="false" ht="26.25" hidden="false" customHeight="true" outlineLevel="0" collapsed="false">
      <c r="A8" s="15" t="s">
        <v>6</v>
      </c>
      <c r="B8" s="17" t="s">
        <v>471</v>
      </c>
      <c r="C8" s="13" t="s">
        <v>472</v>
      </c>
      <c r="D8" s="13" t="s">
        <v>473</v>
      </c>
      <c r="E8" s="13" t="s">
        <v>474</v>
      </c>
    </row>
    <row r="9" customFormat="false" ht="26.25" hidden="false" customHeight="true" outlineLevel="0" collapsed="false">
      <c r="A9" s="14" t="s">
        <v>7</v>
      </c>
      <c r="B9" s="17" t="s">
        <v>475</v>
      </c>
      <c r="C9" s="13" t="s">
        <v>476</v>
      </c>
      <c r="D9" s="13" t="s">
        <v>477</v>
      </c>
      <c r="E9" s="13" t="s">
        <v>478</v>
      </c>
    </row>
    <row r="10" customFormat="false" ht="26.25" hidden="false" customHeight="true" outlineLevel="0" collapsed="false">
      <c r="A10" s="14" t="s">
        <v>8</v>
      </c>
      <c r="B10" s="17" t="s">
        <v>479</v>
      </c>
      <c r="C10" s="17" t="s">
        <v>480</v>
      </c>
      <c r="D10" s="13" t="s">
        <v>481</v>
      </c>
      <c r="E10" s="13" t="s">
        <v>482</v>
      </c>
    </row>
    <row r="11" customFormat="false" ht="26.25" hidden="false" customHeight="true" outlineLevel="0" collapsed="false">
      <c r="A11" s="14" t="s">
        <v>9</v>
      </c>
      <c r="B11" s="17" t="s">
        <v>483</v>
      </c>
      <c r="C11" s="17" t="s">
        <v>484</v>
      </c>
      <c r="D11" s="13" t="s">
        <v>485</v>
      </c>
      <c r="E11" s="17" t="s">
        <v>486</v>
      </c>
    </row>
    <row r="13" customFormat="false" ht="15" hidden="false" customHeight="true" outlineLevel="0" collapsed="false">
      <c r="A13" s="22" t="s">
        <v>487</v>
      </c>
    </row>
    <row r="14" customFormat="false" ht="15" hidden="false" customHeight="true" outlineLevel="0" collapsed="false">
      <c r="A14" s="23" t="s">
        <v>488</v>
      </c>
    </row>
    <row r="15" customFormat="false" ht="15" hidden="false" customHeight="true" outlineLevel="0" collapsed="false">
      <c r="A15" s="23" t="s">
        <v>489</v>
      </c>
    </row>
    <row r="16" customFormat="false" ht="15" hidden="false" customHeight="true" outlineLevel="0" collapsed="false">
      <c r="A16" s="23" t="s">
        <v>490</v>
      </c>
    </row>
    <row r="17" customFormat="false" ht="15" hidden="false" customHeight="true" outlineLevel="0" collapsed="false">
      <c r="A17" s="23" t="s">
        <v>491</v>
      </c>
    </row>
    <row r="18" customFormat="false" ht="15" hidden="false" customHeight="true" outlineLevel="0" collapsed="false">
      <c r="A18" s="23" t="s">
        <v>492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44"/>
    <col collapsed="false" customWidth="true" hidden="false" outlineLevel="0" max="3" min="3" style="1" width="80"/>
  </cols>
  <sheetData>
    <row r="1" customFormat="false" ht="17.25" hidden="false" customHeight="true" outlineLevel="0" collapsed="false">
      <c r="A1" s="2" t="s">
        <v>493</v>
      </c>
    </row>
    <row r="2" customFormat="false" ht="15" hidden="false" customHeight="true" outlineLevel="0" collapsed="false">
      <c r="A2" s="3"/>
    </row>
    <row r="4" customFormat="false" ht="15" hidden="false" customHeight="true" outlineLevel="0" collapsed="false">
      <c r="A4" s="5" t="s">
        <v>494</v>
      </c>
      <c r="B4" s="4" t="s">
        <v>85</v>
      </c>
      <c r="C4" s="5" t="s">
        <v>495</v>
      </c>
    </row>
    <row r="5" customFormat="false" ht="15" hidden="false" customHeight="true" outlineLevel="0" collapsed="false">
      <c r="A5" s="23" t="n">
        <v>1</v>
      </c>
      <c r="B5" s="39" t="s">
        <v>496</v>
      </c>
      <c r="C5" s="40" t="s">
        <v>497</v>
      </c>
    </row>
    <row r="6" customFormat="false" ht="15" hidden="false" customHeight="true" outlineLevel="0" collapsed="false">
      <c r="A6" s="39" t="n">
        <v>2</v>
      </c>
      <c r="B6" s="39" t="s">
        <v>498</v>
      </c>
      <c r="C6" s="40" t="s">
        <v>499</v>
      </c>
    </row>
    <row r="7" customFormat="false" ht="15" hidden="false" customHeight="true" outlineLevel="0" collapsed="false">
      <c r="A7" s="39" t="n">
        <v>3</v>
      </c>
      <c r="B7" s="39" t="s">
        <v>500</v>
      </c>
      <c r="C7" s="40" t="s">
        <v>501</v>
      </c>
    </row>
    <row r="8" customFormat="false" ht="15" hidden="false" customHeight="true" outlineLevel="0" collapsed="false">
      <c r="A8" s="39" t="n">
        <v>4</v>
      </c>
      <c r="B8" s="39" t="s">
        <v>502</v>
      </c>
      <c r="C8" s="40" t="s">
        <v>503</v>
      </c>
    </row>
    <row r="9" customFormat="false" ht="15" hidden="false" customHeight="true" outlineLevel="0" collapsed="false">
      <c r="A9" s="39" t="n">
        <v>5</v>
      </c>
      <c r="B9" s="39" t="s">
        <v>504</v>
      </c>
      <c r="C9" s="40" t="s">
        <v>505</v>
      </c>
    </row>
    <row r="10" customFormat="false" ht="15" hidden="false" customHeight="true" outlineLevel="0" collapsed="false">
      <c r="A10" s="39" t="n">
        <v>6</v>
      </c>
      <c r="B10" s="39" t="s">
        <v>506</v>
      </c>
      <c r="C10" s="40" t="s">
        <v>507</v>
      </c>
    </row>
    <row r="11" customFormat="false" ht="15" hidden="false" customHeight="true" outlineLevel="0" collapsed="false">
      <c r="A11" s="39" t="n">
        <v>7</v>
      </c>
      <c r="B11" s="39" t="s">
        <v>508</v>
      </c>
      <c r="C11" s="40" t="s">
        <v>509</v>
      </c>
    </row>
    <row r="12" customFormat="false" ht="15" hidden="false" customHeight="true" outlineLevel="0" collapsed="false">
      <c r="A12" s="39" t="n">
        <v>8</v>
      </c>
      <c r="B12" s="39" t="s">
        <v>510</v>
      </c>
      <c r="C12" s="40" t="s">
        <v>511</v>
      </c>
    </row>
    <row r="13" customFormat="false" ht="15" hidden="false" customHeight="true" outlineLevel="0" collapsed="false">
      <c r="A13" s="39" t="n">
        <v>9</v>
      </c>
      <c r="B13" s="39" t="s">
        <v>512</v>
      </c>
      <c r="C13" s="40" t="s">
        <v>513</v>
      </c>
    </row>
    <row r="14" customFormat="false" ht="15" hidden="false" customHeight="true" outlineLevel="0" collapsed="false">
      <c r="A14" s="39" t="n">
        <v>10</v>
      </c>
      <c r="B14" s="39" t="s">
        <v>514</v>
      </c>
      <c r="C14" s="40" t="s">
        <v>515</v>
      </c>
    </row>
    <row r="15" customFormat="false" ht="15" hidden="false" customHeight="true" outlineLevel="0" collapsed="false">
      <c r="A15" s="39" t="n">
        <v>11</v>
      </c>
      <c r="B15" s="39" t="s">
        <v>516</v>
      </c>
      <c r="C15" s="40" t="s">
        <v>517</v>
      </c>
    </row>
    <row r="16" customFormat="false" ht="15" hidden="false" customHeight="true" outlineLevel="0" collapsed="false">
      <c r="A16" s="39" t="n">
        <v>12</v>
      </c>
      <c r="B16" s="39" t="s">
        <v>518</v>
      </c>
      <c r="C16" s="40" t="s">
        <v>519</v>
      </c>
    </row>
    <row r="17" customFormat="false" ht="15" hidden="false" customHeight="true" outlineLevel="0" collapsed="false">
      <c r="A17" s="39" t="n">
        <v>13</v>
      </c>
      <c r="B17" s="23" t="s">
        <v>520</v>
      </c>
      <c r="C17" s="40" t="s">
        <v>521</v>
      </c>
    </row>
    <row r="18" customFormat="false" ht="15" hidden="false" customHeight="true" outlineLevel="0" collapsed="false">
      <c r="A18" s="39" t="n">
        <v>14</v>
      </c>
      <c r="B18" s="39" t="s">
        <v>522</v>
      </c>
      <c r="C18" s="40" t="s">
        <v>523</v>
      </c>
    </row>
    <row r="19" customFormat="false" ht="15" hidden="false" customHeight="true" outlineLevel="0" collapsed="false">
      <c r="A19" s="39" t="n">
        <v>15</v>
      </c>
      <c r="B19" s="39" t="s">
        <v>524</v>
      </c>
      <c r="C19" s="40" t="s">
        <v>525</v>
      </c>
    </row>
    <row r="20" customFormat="false" ht="15" hidden="false" customHeight="true" outlineLevel="0" collapsed="false">
      <c r="A20" s="39" t="n">
        <v>16</v>
      </c>
      <c r="B20" s="39" t="s">
        <v>526</v>
      </c>
      <c r="C20" s="40" t="s">
        <v>527</v>
      </c>
    </row>
    <row r="21" customFormat="false" ht="15" hidden="false" customHeight="true" outlineLevel="0" collapsed="false">
      <c r="A21" s="39" t="n">
        <v>17</v>
      </c>
      <c r="B21" s="39" t="s">
        <v>528</v>
      </c>
      <c r="C21" s="40" t="s">
        <v>529</v>
      </c>
    </row>
    <row r="22" customFormat="false" ht="15" hidden="false" customHeight="true" outlineLevel="0" collapsed="false">
      <c r="A22" s="39" t="n">
        <v>18</v>
      </c>
      <c r="B22" s="39" t="s">
        <v>530</v>
      </c>
      <c r="C22" s="40" t="s">
        <v>531</v>
      </c>
    </row>
    <row r="23" customFormat="false" ht="15" hidden="false" customHeight="true" outlineLevel="0" collapsed="false">
      <c r="A23" s="39" t="n">
        <v>19</v>
      </c>
      <c r="B23" s="23" t="s">
        <v>532</v>
      </c>
      <c r="C23" s="40" t="s">
        <v>533</v>
      </c>
    </row>
    <row r="24" customFormat="false" ht="15" hidden="false" customHeight="true" outlineLevel="0" collapsed="false">
      <c r="A24" s="39" t="n">
        <v>20</v>
      </c>
      <c r="B24" s="23" t="s">
        <v>534</v>
      </c>
      <c r="C24" s="40" t="s">
        <v>535</v>
      </c>
    </row>
    <row r="25" customFormat="false" ht="15" hidden="false" customHeight="true" outlineLevel="0" collapsed="false">
      <c r="A25" s="39" t="n">
        <v>21</v>
      </c>
      <c r="B25" s="39" t="s">
        <v>536</v>
      </c>
      <c r="C25" s="40" t="s">
        <v>537</v>
      </c>
    </row>
    <row r="26" customFormat="false" ht="15" hidden="false" customHeight="true" outlineLevel="0" collapsed="false">
      <c r="A26" s="39" t="n">
        <v>22</v>
      </c>
      <c r="B26" s="39" t="s">
        <v>538</v>
      </c>
      <c r="C26" s="40" t="s">
        <v>539</v>
      </c>
    </row>
    <row r="27" customFormat="false" ht="15" hidden="false" customHeight="true" outlineLevel="0" collapsed="false">
      <c r="A27" s="39" t="n">
        <v>23</v>
      </c>
      <c r="B27" s="39" t="s">
        <v>540</v>
      </c>
      <c r="C27" s="40" t="s">
        <v>541</v>
      </c>
    </row>
    <row r="28" customFormat="false" ht="15" hidden="false" customHeight="true" outlineLevel="0" collapsed="false">
      <c r="A28" s="39" t="n">
        <v>24</v>
      </c>
      <c r="B28" s="23" t="s">
        <v>542</v>
      </c>
      <c r="C28" s="40" t="s">
        <v>543</v>
      </c>
    </row>
    <row r="29" customFormat="false" ht="15" hidden="false" customHeight="true" outlineLevel="0" collapsed="false">
      <c r="A29" s="39" t="n">
        <v>25</v>
      </c>
      <c r="B29" s="23" t="s">
        <v>544</v>
      </c>
      <c r="C29" s="40" t="s">
        <v>545</v>
      </c>
    </row>
    <row r="30" customFormat="false" ht="15" hidden="false" customHeight="true" outlineLevel="0" collapsed="false">
      <c r="A30" s="39" t="n">
        <v>26</v>
      </c>
      <c r="B30" s="23" t="s">
        <v>546</v>
      </c>
      <c r="C30" s="40" t="s">
        <v>547</v>
      </c>
    </row>
    <row r="31" customFormat="false" ht="15" hidden="false" customHeight="true" outlineLevel="0" collapsed="false">
      <c r="A31" s="39" t="n">
        <v>27</v>
      </c>
      <c r="B31" s="39" t="s">
        <v>548</v>
      </c>
      <c r="C31" s="40" t="s">
        <v>549</v>
      </c>
    </row>
    <row r="32" customFormat="false" ht="15" hidden="false" customHeight="true" outlineLevel="0" collapsed="false">
      <c r="A32" s="39" t="n">
        <v>28</v>
      </c>
      <c r="B32" s="39" t="s">
        <v>550</v>
      </c>
      <c r="C32" s="40" t="s">
        <v>551</v>
      </c>
    </row>
    <row r="33" customFormat="false" ht="15" hidden="false" customHeight="true" outlineLevel="0" collapsed="false">
      <c r="A33" s="39" t="n">
        <v>29</v>
      </c>
      <c r="B33" s="39" t="s">
        <v>552</v>
      </c>
      <c r="C33" s="40" t="s">
        <v>553</v>
      </c>
    </row>
    <row r="34" customFormat="false" ht="15" hidden="false" customHeight="true" outlineLevel="0" collapsed="false">
      <c r="A34" s="39" t="n">
        <v>30</v>
      </c>
      <c r="B34" s="39" t="s">
        <v>554</v>
      </c>
      <c r="C34" s="40" t="s">
        <v>555</v>
      </c>
    </row>
    <row r="35" customFormat="false" ht="15" hidden="false" customHeight="true" outlineLevel="0" collapsed="false">
      <c r="A35" s="39" t="n">
        <v>31</v>
      </c>
      <c r="B35" s="39" t="s">
        <v>556</v>
      </c>
      <c r="C35" s="40" t="s">
        <v>557</v>
      </c>
    </row>
    <row r="36" customFormat="false" ht="15" hidden="false" customHeight="true" outlineLevel="0" collapsed="false">
      <c r="A36" s="39" t="n">
        <v>32</v>
      </c>
      <c r="B36" s="39" t="s">
        <v>558</v>
      </c>
      <c r="C36" s="40" t="s">
        <v>559</v>
      </c>
    </row>
    <row r="37" customFormat="false" ht="15" hidden="false" customHeight="true" outlineLevel="0" collapsed="false">
      <c r="A37" s="39" t="n">
        <v>33</v>
      </c>
      <c r="B37" s="39" t="s">
        <v>560</v>
      </c>
      <c r="C37" s="40" t="s">
        <v>561</v>
      </c>
    </row>
    <row r="38" customFormat="false" ht="15" hidden="false" customHeight="true" outlineLevel="0" collapsed="false">
      <c r="A38" s="39" t="n">
        <v>34</v>
      </c>
      <c r="B38" s="23" t="s">
        <v>562</v>
      </c>
      <c r="C38" s="40" t="s">
        <v>563</v>
      </c>
    </row>
    <row r="39" customFormat="false" ht="15" hidden="false" customHeight="true" outlineLevel="0" collapsed="false">
      <c r="A39" s="39" t="n">
        <v>35</v>
      </c>
      <c r="B39" s="39" t="s">
        <v>564</v>
      </c>
      <c r="C39" s="40" t="s">
        <v>565</v>
      </c>
    </row>
    <row r="40" customFormat="false" ht="15" hidden="false" customHeight="false" outlineLevel="0" collapsed="false">
      <c r="A40" s="41" t="n">
        <v>36</v>
      </c>
      <c r="B40" s="41" t="s">
        <v>566</v>
      </c>
      <c r="C40" s="42" t="s">
        <v>567</v>
      </c>
    </row>
    <row r="41" customFormat="false" ht="15" hidden="false" customHeight="true" outlineLevel="0" collapsed="false">
      <c r="A41" s="41" t="n">
        <v>37</v>
      </c>
      <c r="B41" s="41" t="s">
        <v>568</v>
      </c>
      <c r="C41" s="42" t="s">
        <v>569</v>
      </c>
    </row>
    <row r="42" customFormat="false" ht="15" hidden="false" customHeight="true" outlineLevel="0" collapsed="false">
      <c r="A42" s="41" t="n">
        <v>38</v>
      </c>
      <c r="B42" s="41" t="s">
        <v>570</v>
      </c>
      <c r="C42" s="42" t="s">
        <v>571</v>
      </c>
    </row>
    <row r="43" customFormat="false" ht="15" hidden="false" customHeight="true" outlineLevel="0" collapsed="false">
      <c r="A43" s="41" t="n">
        <v>39</v>
      </c>
      <c r="B43" s="41" t="s">
        <v>572</v>
      </c>
      <c r="C43" s="42" t="s">
        <v>573</v>
      </c>
    </row>
    <row r="44" customFormat="false" ht="15" hidden="false" customHeight="true" outlineLevel="0" collapsed="false">
      <c r="A44" s="41" t="n">
        <v>40</v>
      </c>
      <c r="B44" s="41" t="s">
        <v>574</v>
      </c>
      <c r="C44" s="42" t="s">
        <v>575</v>
      </c>
    </row>
    <row r="45" customFormat="false" ht="15" hidden="false" customHeight="true" outlineLevel="0" collapsed="false">
      <c r="A45" s="41" t="n">
        <v>41</v>
      </c>
      <c r="B45" s="41" t="s">
        <v>576</v>
      </c>
      <c r="C45" s="42" t="s">
        <v>577</v>
      </c>
    </row>
    <row r="46" customFormat="false" ht="15" hidden="false" customHeight="false" outlineLevel="0" collapsed="false">
      <c r="A46" s="41" t="n">
        <v>42</v>
      </c>
      <c r="B46" s="41" t="s">
        <v>578</v>
      </c>
      <c r="C46" s="42" t="s">
        <v>579</v>
      </c>
    </row>
    <row r="47" customFormat="false" ht="15" hidden="false" customHeight="false" outlineLevel="0" collapsed="false">
      <c r="A47" s="41" t="n">
        <v>43</v>
      </c>
      <c r="B47" s="41" t="s">
        <v>580</v>
      </c>
      <c r="C47" s="42" t="s">
        <v>581</v>
      </c>
    </row>
    <row r="48" customFormat="false" ht="15" hidden="false" customHeight="false" outlineLevel="0" collapsed="false">
      <c r="A48" s="41" t="n">
        <v>44</v>
      </c>
      <c r="B48" s="41" t="s">
        <v>582</v>
      </c>
      <c r="C48" s="42" t="s">
        <v>583</v>
      </c>
    </row>
    <row r="49" customFormat="false" ht="15" hidden="false" customHeight="false" outlineLevel="0" collapsed="false">
      <c r="A49" s="41" t="n">
        <v>45</v>
      </c>
      <c r="B49" s="41" t="s">
        <v>584</v>
      </c>
      <c r="C49" s="42" t="s">
        <v>585</v>
      </c>
    </row>
    <row r="50" customFormat="false" ht="15" hidden="false" customHeight="false" outlineLevel="0" collapsed="false">
      <c r="A50" s="41" t="n">
        <v>46</v>
      </c>
      <c r="B50" s="41" t="s">
        <v>586</v>
      </c>
      <c r="C50" s="42" t="s">
        <v>587</v>
      </c>
    </row>
    <row r="51" customFormat="false" ht="15" hidden="false" customHeight="false" outlineLevel="0" collapsed="false">
      <c r="A51" s="41" t="n">
        <v>47</v>
      </c>
      <c r="B51" s="43" t="s">
        <v>588</v>
      </c>
      <c r="C51" s="42" t="s">
        <v>589</v>
      </c>
    </row>
    <row r="52" customFormat="false" ht="15" hidden="false" customHeight="false" outlineLevel="0" collapsed="false">
      <c r="A52" s="41" t="n">
        <v>48</v>
      </c>
      <c r="B52" s="43" t="s">
        <v>590</v>
      </c>
      <c r="C52" s="42" t="s">
        <v>591</v>
      </c>
    </row>
    <row r="53" customFormat="false" ht="15" hidden="false" customHeight="false" outlineLevel="0" collapsed="false">
      <c r="A53" s="41" t="n">
        <v>49</v>
      </c>
      <c r="B53" s="43" t="s">
        <v>592</v>
      </c>
      <c r="C53" s="42" t="s">
        <v>593</v>
      </c>
    </row>
    <row r="54" customFormat="false" ht="15" hidden="false" customHeight="false" outlineLevel="0" collapsed="false">
      <c r="A54" s="41" t="n">
        <v>50</v>
      </c>
      <c r="B54" s="41" t="s">
        <v>594</v>
      </c>
      <c r="C54" s="42" t="s">
        <v>595</v>
      </c>
    </row>
    <row r="55" customFormat="false" ht="15" hidden="false" customHeight="false" outlineLevel="0" collapsed="false">
      <c r="A55" s="41" t="n">
        <v>51</v>
      </c>
      <c r="B55" s="41" t="s">
        <v>596</v>
      </c>
      <c r="C55" s="42" t="s">
        <v>597</v>
      </c>
    </row>
    <row r="56" customFormat="false" ht="15" hidden="false" customHeight="false" outlineLevel="0" collapsed="false">
      <c r="A56" s="41" t="n">
        <v>52</v>
      </c>
      <c r="B56" s="43" t="s">
        <v>598</v>
      </c>
      <c r="C56" s="42" t="s">
        <v>599</v>
      </c>
    </row>
    <row r="58" customFormat="false" ht="15" hidden="false" customHeight="false" outlineLevel="0" collapsed="false">
      <c r="A58" s="22" t="s">
        <v>600</v>
      </c>
    </row>
    <row r="59" customFormat="false" ht="15" hidden="false" customHeight="false" outlineLevel="0" collapsed="false">
      <c r="A59" s="23" t="s">
        <v>601</v>
      </c>
    </row>
    <row r="60" customFormat="false" ht="15" hidden="false" customHeight="false" outlineLevel="0" collapsed="false">
      <c r="A60" s="23" t="s">
        <v>602</v>
      </c>
    </row>
    <row r="61" customFormat="false" ht="15" hidden="false" customHeight="false" outlineLevel="0" collapsed="false">
      <c r="A61" s="23" t="s">
        <v>603</v>
      </c>
    </row>
    <row r="62" customFormat="false" ht="15" hidden="false" customHeight="false" outlineLevel="0" collapsed="false">
      <c r="A62" s="23" t="s">
        <v>604</v>
      </c>
    </row>
  </sheetData>
  <hyperlinks>
    <hyperlink ref="C5" r:id="rId1" display="https://ranking.net/twitter-follower-ranking/band"/>
    <hyperlink ref="C6" r:id="rId2" display="https://ranking.net/instagram-follower-ranking/band"/>
    <hyperlink ref="C7" r:id="rId3" display="https://yutura.net/channel/33319/chart/"/>
    <hyperlink ref="C8" r:id="rId4" display="https://www.thefirsttimes.jp/news/0000497518/"/>
    <hyperlink ref="C9" r:id="rId5" display="https://skream.jp/news/2026/10/mrs_green_apple_kyohan_mv.php"/>
    <hyperlink ref="C10" r:id="rId6" display="https://search.yahoo.co.jp/realtime/search/matome/post/002-648f3ab846dbbcd695ebbb2f"/>
    <hyperlink ref="C11" r:id="rId7" display="https://www.newscafe.ne.jp/article/2026/10/05/3033224.html"/>
    <hyperlink ref="C12" r:id="rId8" display="https://www.thefirsttimes.jp/?p=814246"/>
    <hyperlink ref="C13" r:id="rId9" display="https://hypeauditor.com/instagram/fujiikaze/"/>
    <hyperlink ref="C14" r:id="rId10" display="https://chartmetric.com/artist/3416450"/>
    <hyperlink ref="C15" r:id="rId11" display="https://ja.wikipedia.org/wiki/%E8%97%A4%E4%BA%95%E9%A2%A8"/>
    <hyperlink ref="C16" r:id="rId12" display="https://www.thefirsttimes.jp/news/0000525596/attachment-sns/"/>
    <hyperlink ref="C17" r:id="rId13" display="https://mdpr.jp/news/detail/3239992"/>
    <hyperlink ref="C18" r:id="rId14" display="https://bezzy.jp/2026/04/84949/"/>
    <hyperlink ref="C19" r:id="rId15" display="https://chartmetric.com/artist/3433193"/>
    <hyperlink ref="C20" r:id="rId16" display="https://www.tiktok.com/@vaundy_artworkstudio"/>
    <hyperlink ref="C21" r:id="rId17" display="https://realsound.jp/2026/04/post-2358816.html"/>
    <hyperlink ref="C22" r:id="rId18" display="https://chartmetric.com/artist/3634529"/>
    <hyperlink ref="C23" r:id="rId19" display="https://www.yuuriweb.com/"/>
    <hyperlink ref="C24" r:id="rId20" display="https://www.fujikyu-travel.co.jp/free2/special/yuuri.html"/>
    <hyperlink ref="C25" r:id="rId21" display="https://ja.wikipedia.org/wiki/%E3%81%82%E3%81%84%E3%81%BF%E3%82%87%E3%82%93"/>
    <hyperlink ref="C26" r:id="rId22" display="https://www.oricon.co.jp/news/2468154/full/"/>
    <hyperlink ref="C27" r:id="rId23" display="https://x.com/unborde/status/2083391412977246467"/>
    <hyperlink ref="C28" r:id="rId24" display="https://x.com/macarock0616?lang=ja"/>
    <hyperlink ref="C29" r:id="rId25" display="https://macaroniempitsu.com/news"/>
    <hyperlink ref="C30" r:id="rId26" display="https://natalie.mu/music/news/666191"/>
    <hyperlink ref="C31" r:id="rId27" display="https://yutura.net/channel/35145/"/>
    <hyperlink ref="C32" r:id="rId28" display="https://taniyuuki.com/"/>
    <hyperlink ref="C33" r:id="rId29" display="https://www.tiktok.com/@yu___09___11"/>
    <hyperlink ref="C34" r:id="rId30" display="https://x.com/yu___09___11"/>
    <hyperlink ref="C35" r:id="rId31" display="https://www.instagram.com/u_yuuki_u/"/>
    <hyperlink ref="C36" r:id="rId32" display="https://yutura.net/channel/52555/"/>
    <hyperlink ref="C37" r:id="rId33" display="https://www.youtube.com/watch?v=tJdDGAIoXL0"/>
    <hyperlink ref="C38" r:id="rId34" display="https://kansai.pia.co.jp/interview/music/2026-08/tani-yuuki.html"/>
    <hyperlink ref="C39" r:id="rId35" display="https://page.line.me/391hyqzj"/>
    <hyperlink ref="C40" r:id="rId36" display="https://realsound.jp/2026/07/post-2454589.html"/>
    <hyperlink ref="C41" r:id="rId37" display="https://x.com/taniyuuki_staff"/>
    <hyperlink ref="C42" r:id="rId38" display="https://www.tiktok.com/@yu___09___11/video/7622630836109724946"/>
    <hyperlink ref="C43" r:id="rId39" display="https://www.youtube.com/shorts/RddCVQW_VGs"/>
    <hyperlink ref="C44" r:id="rId40" display="https://search.yahoo.co.jp/realtime/search/matome/post/002-eadced99f1f5e9b2538126b2"/>
    <hyperlink ref="C45" r:id="rId41" display="https://tower.jp/article/news/2026/09/09/tg008"/>
    <hyperlink ref="C46" r:id="rId42" display="https://tower.jp/article/news/2026/08/25/tg006"/>
    <hyperlink ref="C47" r:id="rId43" display="https://ja.wikipedia.org/wiki/POPS_(Mrs._GREEN_APPLE%E3%81%AE%E3%82%A2%E3%83%AB%E3%83%90%E3%83%A0)"/>
    <hyperlink ref="C48" r:id="rId44" display="https://bezzy.jp/2026/04/85096/"/>
    <hyperlink ref="C49" r:id="rId45" display="https://bezzy.jp/2026/03/83347/"/>
    <hyperlink ref="C50" r:id="rId46" display="https://tower.jp/article/news/2026/03/30/tg014"/>
    <hyperlink ref="C51" r:id="rId47" display="https://natalie.mu/music/news/673431"/>
    <hyperlink ref="C52" r:id="rId48" display="https://x.com/yuuri_official/status/2000340667588080030"/>
    <hyperlink ref="C53" r:id="rId49" display="https://www.sonymusic.co.jp/artist/yuri/info/580162"/>
    <hyperlink ref="C54" r:id="rId50" display="https://skream.jp/news/2026/10/aimyon_almostlonely_release.php"/>
    <hyperlink ref="C55" r:id="rId51" display="https://barks.jp/news/1085198/"/>
    <hyperlink ref="C56" r:id="rId52" display="https://news.yahoo.co.jp/articles/968b4bdd4837c9ea03aa7e0652b1847438edc1ba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2026-10-13T05:05:38Z</dcterms:created>
  <dc:creator>openpyxl</dc:creator>
  <dc:description/>
  <dc:language>en-US</dc:language>
  <cp:lastModifiedBy/>
  <dcterms:modified xsi:type="dcterms:W3CDTF">2026-10-13T05:12:38Z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