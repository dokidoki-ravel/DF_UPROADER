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フォロワー数比較" sheetId="1" state="visible" r:id="rId3"/>
    <sheet name="最近の投稿・活動" sheetId="2" state="visible" r:id="rId4"/>
    <sheet name="アカウント一覧" sheetId="3" state="visible" r:id="rId5"/>
    <sheet name="発信スタイル比較" sheetId="4" state="visible" r:id="rId6"/>
    <sheet name="出典・注意事項" sheetId="5" state="visible" r:id="rId7"/>
  </sheets>
  <definedNames>
    <definedName function="false" hidden="true" localSheetId="1" name="_xlnm._FilterDatabase" vbProcedure="false">最近の投稿・活動!$A$4:$F$30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20.1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Instagram</t>
        </r>
        <r>
          <rPr>
            <sz val="10"/>
            <rFont val="WenQuanYi Zen Hei"/>
            <family val="2"/>
          </rPr>
          <t xml:space="preserve">プロフィール検索スニペット（約</t>
        </r>
        <r>
          <rPr>
            <sz val="10"/>
            <rFont val="Arial"/>
            <family val="2"/>
          </rPr>
          <t xml:space="preserve">300</t>
        </r>
        <r>
          <rPr>
            <sz val="10"/>
            <rFont val="WenQuanYi Zen Hei"/>
            <family val="2"/>
          </rPr>
          <t xml:space="preserve">日前取得・古い可能性）</t>
        </r>
      </text>
    </comment>
    <comment ref="B6" authorId="0">
      <text>
        <r>
          <rPr>
            <sz val="10"/>
            <rFont val="Arial"/>
            <family val="2"/>
          </rPr>
          <t xml:space="preserve">ranking.net 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月時点</t>
        </r>
      </text>
    </comment>
    <comment ref="B7" authorId="0">
      <text>
        <r>
          <rPr>
            <sz val="10"/>
            <rFont val="Arial"/>
            <family val="2"/>
          </rPr>
          <t xml:space="preserve">HypeAuditor 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月時点（</t>
        </r>
        <r>
          <rPr>
            <sz val="10"/>
            <rFont val="Arial"/>
            <family val="2"/>
          </rPr>
          <t xml:space="preserve">Chartmetric</t>
        </r>
        <r>
          <rPr>
            <sz val="10"/>
            <rFont val="WenQuanYi Zen Hei"/>
            <family val="2"/>
          </rPr>
          <t xml:space="preserve">も</t>
        </r>
        <r>
          <rPr>
            <sz val="10"/>
            <rFont val="Arial"/>
            <family val="2"/>
          </rPr>
          <t xml:space="preserve">340</t>
        </r>
        <r>
          <rPr>
            <sz val="10"/>
            <rFont val="WenQuanYi Zen Hei"/>
            <family val="2"/>
          </rPr>
          <t xml:space="preserve">万）</t>
        </r>
      </text>
    </comment>
    <comment ref="B8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110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Chartmetric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@vaundy_engawa</t>
        </r>
        <r>
          <rPr>
            <sz val="10"/>
            <rFont val="WenQuanYi Zen Hei"/>
            <family val="2"/>
          </rPr>
          <t xml:space="preserve">）</t>
        </r>
      </text>
    </comment>
    <comment ref="B9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86.8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Chartmetric 2026-10-12</t>
        </r>
        <r>
          <rPr>
            <sz val="10"/>
            <rFont val="WenQuanYi Zen Hei"/>
            <family val="2"/>
          </rPr>
          <t xml:space="preserve">更新</t>
        </r>
      </text>
    </comment>
    <comment ref="B10" authorId="0">
      <text>
        <r>
          <rPr>
            <sz val="10"/>
            <rFont val="WenQuanYi Zen Hei"/>
            <family val="2"/>
          </rPr>
          <t xml:space="preserve">未取得（</t>
        </r>
        <r>
          <rPr>
            <sz val="10"/>
            <rFont val="Arial"/>
            <family val="2"/>
          </rPr>
          <t xml:space="preserve">@aimyon36</t>
        </r>
        <r>
          <rPr>
            <sz val="10"/>
            <rFont val="WenQuanYi Zen Hei"/>
            <family val="2"/>
          </rPr>
          <t xml:space="preserve">）</t>
        </r>
      </text>
    </comment>
    <comment ref="B11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Instagram</t>
        </r>
        <r>
          <rPr>
            <sz val="10"/>
            <rFont val="WenQuanYi Zen Hei"/>
            <family val="2"/>
          </rPr>
          <t xml:space="preserve">プロフィールスニペット（約</t>
        </r>
        <r>
          <rPr>
            <sz val="10"/>
            <rFont val="Arial"/>
            <family val="2"/>
          </rPr>
          <t xml:space="preserve">700</t>
        </r>
        <r>
          <rPr>
            <sz val="10"/>
            <rFont val="WenQuanYi Zen Hei"/>
            <family val="2"/>
          </rPr>
          <t xml:space="preserve">日前取得・古い）</t>
        </r>
      </text>
    </comment>
    <comment ref="C5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5.97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X </t>
        </r>
        <r>
          <rPr>
            <sz val="10"/>
            <rFont val="WenQuanYi Zen Hei"/>
            <family val="2"/>
          </rPr>
          <t xml:space="preserve">プロフィール表示（取得日不明）</t>
        </r>
      </text>
    </comment>
    <comment ref="C6" authorId="0">
      <text>
        <r>
          <rPr>
            <sz val="10"/>
            <rFont val="Arial"/>
            <family val="2"/>
          </rPr>
          <t xml:space="preserve">ranking.net 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月時点</t>
        </r>
      </text>
    </comment>
    <comment ref="C7" authorId="0">
      <text>
        <r>
          <rPr>
            <sz val="10"/>
            <rFont val="WenQuanYi Zen Hei"/>
            <family val="2"/>
          </rPr>
          <t xml:space="preserve">本人</t>
        </r>
        <r>
          <rPr>
            <sz val="10"/>
            <rFont val="Arial"/>
            <family val="2"/>
          </rPr>
          <t xml:space="preserve">X</t>
        </r>
        <r>
          <rPr>
            <sz val="10"/>
            <rFont val="WenQuanYi Zen Hei"/>
            <family val="2"/>
          </rPr>
          <t xml:space="preserve">は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月に全削除（当時</t>
        </r>
        <r>
          <rPr>
            <sz val="10"/>
            <rFont val="Arial"/>
            <family val="2"/>
          </rPr>
          <t xml:space="preserve">68.7</t>
        </r>
        <r>
          <rPr>
            <sz val="10"/>
            <rFont val="WenQuanYi Zen Hei"/>
            <family val="2"/>
          </rPr>
          <t xml:space="preserve">万）。現在はスタッフ</t>
        </r>
        <r>
          <rPr>
            <sz val="10"/>
            <rFont val="Arial"/>
            <family val="2"/>
          </rPr>
          <t xml:space="preserve">@fujiikazestaff</t>
        </r>
        <r>
          <rPr>
            <sz val="10"/>
            <rFont val="WenQuanYi Zen Hei"/>
            <family val="2"/>
          </rPr>
          <t xml:space="preserve">運用、数値未取得</t>
        </r>
      </text>
    </comment>
    <comment ref="C8" authorId="0">
      <text>
        <r>
          <rPr>
            <sz val="10"/>
            <rFont val="Arial"/>
            <family val="2"/>
          </rPr>
          <t xml:space="preserve">2026-03-09</t>
        </r>
        <r>
          <rPr>
            <sz val="10"/>
            <rFont val="WenQuanYi Zen Hei"/>
            <family val="2"/>
          </rPr>
          <t xml:space="preserve">時点 約</t>
        </r>
        <r>
          <rPr>
            <sz val="10"/>
            <rFont val="Arial"/>
            <family val="2"/>
          </rPr>
          <t xml:space="preserve">74.5</t>
        </r>
        <r>
          <rPr>
            <sz val="10"/>
            <rFont val="WenQuanYi Zen Hei"/>
            <family val="2"/>
          </rPr>
          <t xml:space="preserve">万（ドームツアー倍率記事）</t>
        </r>
      </text>
    </comment>
    <comment ref="C9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29.7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X</t>
        </r>
        <r>
          <rPr>
            <sz val="10"/>
            <rFont val="WenQuanYi Zen Hei"/>
            <family val="2"/>
          </rPr>
          <t xml:space="preserve">プロフィール（</t>
        </r>
        <r>
          <rPr>
            <sz val="10"/>
            <rFont val="Arial"/>
            <family val="2"/>
          </rPr>
          <t xml:space="preserve">Chartmetric</t>
        </r>
        <r>
          <rPr>
            <sz val="10"/>
            <rFont val="WenQuanYi Zen Hei"/>
            <family val="2"/>
          </rPr>
          <t xml:space="preserve">は</t>
        </r>
        <r>
          <rPr>
            <sz val="10"/>
            <rFont val="Arial"/>
            <family val="2"/>
          </rPr>
          <t xml:space="preserve">29.6</t>
        </r>
        <r>
          <rPr>
            <sz val="10"/>
            <rFont val="WenQuanYi Zen Hei"/>
            <family val="2"/>
          </rPr>
          <t xml:space="preserve">万）</t>
        </r>
      </text>
    </comment>
    <comment ref="C10" authorId="0">
      <text>
        <r>
          <rPr>
            <sz val="10"/>
            <rFont val="WenQuanYi Zen Hei"/>
            <family val="2"/>
          </rPr>
          <t xml:space="preserve">未取得（</t>
        </r>
        <r>
          <rPr>
            <sz val="10"/>
            <rFont val="Arial"/>
            <family val="2"/>
          </rPr>
          <t xml:space="preserve">@aimyonGtter</t>
        </r>
        <r>
          <rPr>
            <sz val="10"/>
            <rFont val="WenQuanYi Zen Hei"/>
            <family val="2"/>
          </rPr>
          <t xml:space="preserve">）</t>
        </r>
      </text>
    </comment>
    <comment ref="C11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32.8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X</t>
        </r>
        <r>
          <rPr>
            <sz val="10"/>
            <rFont val="WenQuanYi Zen Hei"/>
            <family val="2"/>
          </rPr>
          <t xml:space="preserve">プロフィール（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月ツアー告知表示時）</t>
        </r>
      </text>
    </comment>
    <comment ref="D5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31.9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TikTok discover</t>
        </r>
        <r>
          <rPr>
            <sz val="10"/>
            <rFont val="WenQuanYi Zen Hei"/>
            <family val="2"/>
          </rPr>
          <t xml:space="preserve">ページ表示（</t>
        </r>
        <r>
          <rPr>
            <sz val="10"/>
            <rFont val="Arial"/>
            <family val="2"/>
          </rPr>
          <t xml:space="preserve">@yu___09___11</t>
        </r>
        <r>
          <rPr>
            <sz val="10"/>
            <rFont val="WenQuanYi Zen Hei"/>
            <family val="2"/>
          </rPr>
          <t xml:space="preserve">）</t>
        </r>
      </text>
    </comment>
    <comment ref="D6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月に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WenQuanYi Zen Hei"/>
            <family val="2"/>
          </rPr>
          <t xml:space="preserve">万突破（</t>
        </r>
        <r>
          <rPr>
            <sz val="10"/>
            <rFont val="Arial"/>
            <family val="2"/>
          </rPr>
          <t xml:space="preserve">THE FIRST TIMES</t>
        </r>
        <r>
          <rPr>
            <sz val="10"/>
            <rFont val="WenQuanYi Zen Hei"/>
            <family val="2"/>
          </rPr>
          <t xml:space="preserve">）。最新値未取得のため下限値</t>
        </r>
      </text>
    </comment>
    <comment ref="D7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120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Chartmetric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TikTok</t>
        </r>
        <r>
          <rPr>
            <sz val="10"/>
            <rFont val="WenQuanYi Zen Hei"/>
            <family val="2"/>
          </rPr>
          <t xml:space="preserve">プロフィール（</t>
        </r>
        <r>
          <rPr>
            <sz val="10"/>
            <rFont val="Arial"/>
            <family val="2"/>
          </rPr>
          <t xml:space="preserve">@fujiikaze1997</t>
        </r>
        <r>
          <rPr>
            <sz val="10"/>
            <rFont val="WenQuanYi Zen Hei"/>
            <family val="2"/>
          </rPr>
          <t xml:space="preserve">）</t>
        </r>
      </text>
    </comment>
    <comment ref="D8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9.93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TikTok discover</t>
        </r>
        <r>
          <rPr>
            <sz val="10"/>
            <rFont val="WenQuanYi Zen Hei"/>
            <family val="2"/>
          </rPr>
          <t xml:space="preserve">ページ </t>
        </r>
        <r>
          <rPr>
            <sz val="10"/>
            <rFont val="Arial"/>
            <family val="2"/>
          </rPr>
          <t xml:space="preserve">2026-09-28</t>
        </r>
        <r>
          <rPr>
            <sz val="10"/>
            <rFont val="WenQuanYi Zen Hei"/>
            <family val="2"/>
          </rPr>
          <t xml:space="preserve">更新（</t>
        </r>
        <r>
          <rPr>
            <sz val="10"/>
            <rFont val="Arial"/>
            <family val="2"/>
          </rPr>
          <t xml:space="preserve">@vaundy_artworkstudio</t>
        </r>
        <r>
          <rPr>
            <sz val="10"/>
            <rFont val="WenQuanYi Zen Hei"/>
            <family val="2"/>
          </rPr>
          <t xml:space="preserve">）</t>
        </r>
      </text>
    </comment>
    <comment ref="D9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79.8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TikTok</t>
        </r>
        <r>
          <rPr>
            <sz val="10"/>
            <rFont val="WenQuanYi Zen Hei"/>
            <family val="2"/>
          </rPr>
          <t xml:space="preserve">プロフィール（</t>
        </r>
        <r>
          <rPr>
            <sz val="10"/>
            <rFont val="Arial"/>
            <family val="2"/>
          </rPr>
          <t xml:space="preserve">@yuuri_music_official</t>
        </r>
        <r>
          <rPr>
            <sz val="10"/>
            <rFont val="WenQuanYi Zen Hei"/>
            <family val="2"/>
          </rPr>
          <t xml:space="preserve">）</t>
        </r>
      </text>
    </comment>
    <comment ref="D10" authorId="0">
      <text>
        <r>
          <rPr>
            <sz val="10"/>
            <rFont val="WenQuanYi Zen Hei"/>
            <family val="2"/>
          </rPr>
          <t xml:space="preserve">未取得（</t>
        </r>
        <r>
          <rPr>
            <sz val="10"/>
            <rFont val="Arial"/>
            <family val="2"/>
          </rPr>
          <t xml:space="preserve">@aimyon_official</t>
        </r>
        <r>
          <rPr>
            <sz val="10"/>
            <rFont val="WenQuanYi Zen Hei"/>
            <family val="2"/>
          </rPr>
          <t xml:space="preserve">）</t>
        </r>
      </text>
    </comment>
    <comment ref="D11" authorId="0">
      <text>
        <r>
          <rPr>
            <sz val="10"/>
            <rFont val="WenQuanYi Zen Hei"/>
            <family val="2"/>
          </rPr>
          <t xml:space="preserve">未取得（</t>
        </r>
        <r>
          <rPr>
            <sz val="10"/>
            <rFont val="Arial"/>
            <family val="2"/>
          </rPr>
          <t xml:space="preserve">@macaroniempitsu</t>
        </r>
        <r>
          <rPr>
            <sz val="10"/>
            <rFont val="WenQuanYi Zen Hei"/>
            <family val="2"/>
          </rPr>
          <t xml:space="preserve">）</t>
        </r>
      </text>
    </comment>
    <comment ref="E5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63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YouTube</t>
        </r>
        <r>
          <rPr>
            <sz val="10"/>
            <rFont val="WenQuanYi Zen Hei"/>
            <family val="2"/>
          </rPr>
          <t xml:space="preserve">チャンネルページ（</t>
        </r>
        <r>
          <rPr>
            <sz val="10"/>
            <rFont val="Arial"/>
            <family val="2"/>
          </rPr>
          <t xml:space="preserve">yutura</t>
        </r>
        <r>
          <rPr>
            <sz val="10"/>
            <rFont val="WenQuanYi Zen Hei"/>
            <family val="2"/>
          </rPr>
          <t xml:space="preserve">集計では約</t>
        </r>
        <r>
          <rPr>
            <sz val="10"/>
            <rFont val="Arial"/>
            <family val="2"/>
          </rPr>
          <t xml:space="preserve">60.2</t>
        </r>
        <r>
          <rPr>
            <sz val="10"/>
            <rFont val="WenQuanYi Zen Hei"/>
            <family val="2"/>
          </rPr>
          <t xml:space="preserve">万）</t>
        </r>
      </text>
    </comment>
    <comment ref="E6" authorId="0">
      <text>
        <r>
          <rPr>
            <sz val="10"/>
            <rFont val="Arial"/>
            <family val="2"/>
          </rPr>
          <t xml:space="preserve">yutura.net 2026-10-02</t>
        </r>
        <r>
          <rPr>
            <sz val="10"/>
            <rFont val="WenQuanYi Zen Hei"/>
            <family val="2"/>
          </rPr>
          <t xml:space="preserve">時点（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WenQuanYi Zen Hei"/>
            <family val="2"/>
          </rPr>
          <t xml:space="preserve">日で</t>
        </r>
        <r>
          <rPr>
            <sz val="10"/>
            <rFont val="Arial"/>
            <family val="2"/>
          </rPr>
          <t xml:space="preserve">+8</t>
        </r>
        <r>
          <rPr>
            <sz val="10"/>
            <rFont val="WenQuanYi Zen Hei"/>
            <family val="2"/>
          </rPr>
          <t xml:space="preserve">万）</t>
        </r>
      </text>
    </comment>
    <comment ref="E7" authorId="0">
      <text>
        <r>
          <rPr>
            <sz val="10"/>
            <rFont val="WenQuanYi Zen Hei"/>
            <family val="2"/>
          </rPr>
          <t xml:space="preserve">日本語版</t>
        </r>
        <r>
          <rPr>
            <sz val="10"/>
            <rFont val="Arial"/>
            <family val="2"/>
          </rPr>
          <t xml:space="preserve">Wikipedia 2026-09-10</t>
        </r>
        <r>
          <rPr>
            <sz val="10"/>
            <rFont val="WenQuanYi Zen Hei"/>
            <family val="2"/>
          </rPr>
          <t xml:space="preserve">時点</t>
        </r>
      </text>
    </comment>
    <comment ref="E8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260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Chartmetric</t>
        </r>
      </text>
    </comment>
    <comment ref="E9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260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Chartmetric 2026-10-12</t>
        </r>
        <r>
          <rPr>
            <sz val="10"/>
            <rFont val="WenQuanYi Zen Hei"/>
            <family val="2"/>
          </rPr>
          <t xml:space="preserve">更新</t>
        </r>
      </text>
    </comment>
    <comment ref="E10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229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日本語版</t>
        </r>
        <r>
          <rPr>
            <sz val="10"/>
            <rFont val="Arial"/>
            <family val="2"/>
          </rPr>
          <t xml:space="preserve">Wikipedia</t>
        </r>
        <r>
          <rPr>
            <sz val="10"/>
            <rFont val="WenQuanYi Zen Hei"/>
            <family val="2"/>
          </rPr>
          <t xml:space="preserve">（時点不明）</t>
        </r>
      </text>
    </comment>
    <comment ref="E11" authorId="0">
      <text>
        <r>
          <rPr>
            <sz val="10"/>
            <rFont val="WenQuanYi Zen Hei"/>
            <family val="2"/>
          </rPr>
          <t xml:space="preserve">約</t>
        </r>
        <r>
          <rPr>
            <sz val="10"/>
            <rFont val="Arial"/>
            <family val="2"/>
          </rPr>
          <t xml:space="preserve">59.7</t>
        </r>
        <r>
          <rPr>
            <sz val="10"/>
            <rFont val="WenQuanYi Zen Hei"/>
            <family val="2"/>
          </rPr>
          <t xml:space="preserve">万 </t>
        </r>
        <r>
          <rPr>
            <sz val="10"/>
            <rFont val="Arial"/>
            <family val="2"/>
          </rPr>
          <t xml:space="preserve">/ YouTube</t>
        </r>
        <r>
          <rPr>
            <sz val="10"/>
            <rFont val="WenQuanYi Zen Hei"/>
            <family val="2"/>
          </rPr>
          <t xml:space="preserve">チャンネル構造化データ（</t>
        </r>
        <r>
          <rPr>
            <sz val="10"/>
            <rFont val="Arial"/>
            <family val="2"/>
          </rPr>
          <t xml:space="preserve">Wikipedia</t>
        </r>
        <r>
          <rPr>
            <sz val="10"/>
            <rFont val="WenQuanYi Zen Hei"/>
            <family val="2"/>
          </rPr>
          <t xml:space="preserve">は</t>
        </r>
        <r>
          <rPr>
            <sz val="10"/>
            <rFont val="Arial"/>
            <family val="2"/>
          </rPr>
          <t xml:space="preserve">55.2</t>
        </r>
        <r>
          <rPr>
            <sz val="10"/>
            <rFont val="WenQuanYi Zen Hei"/>
            <family val="2"/>
          </rPr>
          <t xml:space="preserve">万）</t>
        </r>
      </text>
    </comment>
  </commentList>
</comments>
</file>

<file path=xl/sharedStrings.xml><?xml version="1.0" encoding="utf-8"?>
<sst xmlns="http://schemas.openxmlformats.org/spreadsheetml/2006/main" count="385" uniqueCount="303">
  <si>
    <r>
      <rPr>
        <b val="true"/>
        <sz val="14"/>
        <rFont val="WenQuanYi Zen Hei"/>
        <family val="2"/>
      </rPr>
      <t xml:space="preserve">音楽アーティスト </t>
    </r>
    <r>
      <rPr>
        <b val="true"/>
        <sz val="14"/>
        <rFont val="Arial"/>
        <family val="0"/>
        <charset val="1"/>
      </rPr>
      <t xml:space="preserve">SNS</t>
    </r>
    <r>
      <rPr>
        <b val="true"/>
        <sz val="14"/>
        <rFont val="WenQuanYi Zen Hei"/>
        <family val="2"/>
      </rPr>
      <t xml:space="preserve">フォロワー数比較（</t>
    </r>
    <r>
      <rPr>
        <b val="true"/>
        <sz val="14"/>
        <rFont val="Arial"/>
        <family val="0"/>
        <charset val="1"/>
      </rPr>
      <t xml:space="preserve">Tani Yuuki</t>
    </r>
    <r>
      <rPr>
        <b val="true"/>
        <sz val="14"/>
        <rFont val="WenQuanYi Zen Hei"/>
        <family val="2"/>
      </rPr>
      <t xml:space="preserve">基準）</t>
    </r>
  </si>
  <si>
    <r>
      <rPr>
        <i val="true"/>
        <sz val="9"/>
        <color rgb="FF595959"/>
        <rFont val="WenQuanYi Zen Hei"/>
        <family val="2"/>
      </rPr>
      <t xml:space="preserve">調査日</t>
    </r>
    <r>
      <rPr>
        <i val="true"/>
        <sz val="9"/>
        <color rgb="FF595959"/>
        <rFont val="Arial"/>
        <family val="0"/>
        <charset val="1"/>
      </rPr>
      <t xml:space="preserve">: 2026-10-13 </t>
    </r>
    <r>
      <rPr>
        <i val="true"/>
        <sz val="9"/>
        <color rgb="FF595959"/>
        <rFont val="WenQuanYi Zen Hei"/>
        <family val="2"/>
      </rPr>
      <t xml:space="preserve">／ 数値は公開集計サイト・プロフィール表示からの概数（取得時点は各セルのコメント・「出典」シート参照）。青字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手入力値。空欄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未取得（公式プロフィールで要確認）。</t>
    </r>
  </si>
  <si>
    <t xml:space="preserve">アーティスト</t>
  </si>
  <si>
    <t xml:space="preserve">Instagram</t>
  </si>
  <si>
    <t xml:space="preserve">X</t>
  </si>
  <si>
    <t xml:space="preserve">TikTok</t>
  </si>
  <si>
    <r>
      <rPr>
        <b val="true"/>
        <sz val="10"/>
        <color rgb="FFFFFFFF"/>
        <rFont val="Arial"/>
        <family val="0"/>
        <charset val="1"/>
      </rPr>
      <t xml:space="preserve">YouTube</t>
    </r>
    <r>
      <rPr>
        <b val="true"/>
        <sz val="10"/>
        <color rgb="FFFFFFFF"/>
        <rFont val="WenQuanYi Zen Hei"/>
        <family val="2"/>
      </rPr>
      <t xml:space="preserve">登録者</t>
    </r>
  </si>
  <si>
    <t xml:space="preserve">合計（取得分）</t>
  </si>
  <si>
    <r>
      <rPr>
        <b val="true"/>
        <sz val="10"/>
        <color rgb="FFFFFFFF"/>
        <rFont val="WenQuanYi Zen Hei"/>
        <family val="2"/>
      </rPr>
      <t xml:space="preserve">取得</t>
    </r>
    <r>
      <rPr>
        <b val="true"/>
        <sz val="10"/>
        <color rgb="FFFFFFFF"/>
        <rFont val="Arial"/>
        <family val="0"/>
        <charset val="1"/>
      </rPr>
      <t xml:space="preserve">PF</t>
    </r>
    <r>
      <rPr>
        <b val="true"/>
        <sz val="10"/>
        <color rgb="FFFFFFFF"/>
        <rFont val="WenQuanYi Zen Hei"/>
        <family val="2"/>
      </rPr>
      <t xml:space="preserve">数</t>
    </r>
  </si>
  <si>
    <r>
      <rPr>
        <b val="true"/>
        <sz val="10"/>
        <color rgb="FFFFFFFF"/>
        <rFont val="Arial"/>
        <family val="0"/>
        <charset val="1"/>
      </rPr>
      <t xml:space="preserve">Instagram
Tani</t>
    </r>
    <r>
      <rPr>
        <b val="true"/>
        <sz val="10"/>
        <color rgb="FFFFFFFF"/>
        <rFont val="WenQuanYi Zen Hei"/>
        <family val="2"/>
      </rPr>
      <t xml:space="preserve">比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倍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</si>
  <si>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X
Tani</t>
    </r>
    <r>
      <rPr>
        <b val="true"/>
        <sz val="10"/>
        <color rgb="FFFFFFFF"/>
        <rFont val="WenQuanYi Zen Hei"/>
        <family val="2"/>
      </rPr>
      <t xml:space="preserve">比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倍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</si>
  <si>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TikTok
Tani</t>
    </r>
    <r>
      <rPr>
        <b val="true"/>
        <sz val="10"/>
        <color rgb="FFFFFFFF"/>
        <rFont val="WenQuanYi Zen Hei"/>
        <family val="2"/>
      </rPr>
      <t xml:space="preserve">比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倍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</si>
  <si>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YouTube
Tani</t>
    </r>
    <r>
      <rPr>
        <b val="true"/>
        <sz val="10"/>
        <color rgb="FFFFFFFF"/>
        <rFont val="WenQuanYi Zen Hei"/>
        <family val="2"/>
      </rPr>
      <t xml:space="preserve">比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倍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</si>
  <si>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合計
</t>
    </r>
    <r>
      <rPr>
        <b val="true"/>
        <sz val="10"/>
        <color rgb="FFFFFFFF"/>
        <rFont val="Arial"/>
        <family val="0"/>
        <charset val="1"/>
      </rPr>
      <t xml:space="preserve">Tani</t>
    </r>
    <r>
      <rPr>
        <b val="true"/>
        <sz val="10"/>
        <color rgb="FFFFFFFF"/>
        <rFont val="WenQuanYi Zen Hei"/>
        <family val="2"/>
      </rPr>
      <t xml:space="preserve">比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倍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</si>
  <si>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Tani Yuuki</t>
  </si>
  <si>
    <t xml:space="preserve">Mrs. GREEN APPLE</t>
  </si>
  <si>
    <t xml:space="preserve">藤井風</t>
  </si>
  <si>
    <t xml:space="preserve">Vaundy</t>
  </si>
  <si>
    <t xml:space="preserve">優里</t>
  </si>
  <si>
    <t xml:space="preserve">あいみょん</t>
  </si>
  <si>
    <t xml:space="preserve">マカロニえんぴつ</t>
  </si>
  <si>
    <r>
      <rPr>
        <b val="true"/>
        <sz val="10"/>
        <rFont val="WenQuanYi Zen Hei"/>
        <family val="2"/>
      </rPr>
      <t xml:space="preserve">比較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組 平均（取得分）</t>
    </r>
  </si>
  <si>
    <r>
      <rPr>
        <b val="true"/>
        <sz val="10"/>
        <rFont val="Arial"/>
        <family val="0"/>
        <charset val="1"/>
      </rPr>
      <t xml:space="preserve">Tani Yuuki</t>
    </r>
    <r>
      <rPr>
        <b val="true"/>
        <sz val="10"/>
        <rFont val="WenQuanYi Zen Hei"/>
        <family val="2"/>
      </rPr>
      <t xml:space="preserve">の順位（</t>
    </r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組中）</t>
    </r>
  </si>
  <si>
    <t xml:space="preserve">【読み方】</t>
  </si>
  <si>
    <r>
      <rPr>
        <sz val="10"/>
        <rFont val="WenQuanYi Zen Hei"/>
        <family val="2"/>
      </rPr>
      <t xml:space="preserve">・「</t>
    </r>
    <r>
      <rPr>
        <sz val="10"/>
        <rFont val="Arial"/>
        <family val="0"/>
        <charset val="1"/>
      </rPr>
      <t xml:space="preserve">Tani</t>
    </r>
    <r>
      <rPr>
        <sz val="10"/>
        <rFont val="WenQuanYi Zen Hei"/>
        <family val="2"/>
      </rPr>
      <t xml:space="preserve">比」は各アーティストのフォロワー数 </t>
    </r>
    <r>
      <rPr>
        <sz val="10"/>
        <rFont val="Arial"/>
        <family val="0"/>
        <charset val="1"/>
      </rPr>
      <t xml:space="preserve">÷ Tani Yuuki</t>
    </r>
    <r>
      <rPr>
        <sz val="10"/>
        <rFont val="WenQuanYi Zen Hei"/>
        <family val="2"/>
      </rPr>
      <t xml:space="preserve">のフォロワー数。例：</t>
    </r>
    <r>
      <rPr>
        <sz val="10"/>
        <rFont val="Arial"/>
        <family val="0"/>
        <charset val="1"/>
      </rPr>
      <t xml:space="preserve">5.0x = Tani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倍。</t>
    </r>
  </si>
  <si>
    <t xml:space="preserve">・合計は取得できたプラットフォームのみの単純合計。未取得が多いアーティスト（あいみょん等）は過小になる点に注意。</t>
  </si>
  <si>
    <r>
      <rPr>
        <sz val="10"/>
        <rFont val="WenQuanYi Zen Hei"/>
        <family val="2"/>
      </rPr>
      <t xml:space="preserve">・数値は集計時点がバラバラ（</t>
    </r>
    <r>
      <rPr>
        <sz val="10"/>
        <rFont val="Arial"/>
        <family val="0"/>
        <charset val="1"/>
      </rPr>
      <t xml:space="preserve">2024</t>
    </r>
    <r>
      <rPr>
        <sz val="10"/>
        <rFont val="WenQuanYi Zen Hei"/>
        <family val="2"/>
      </rPr>
      <t xml:space="preserve">年〜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月）。正式資料にする際は各公式プロフィールで同日に再取得を推奨。</t>
    </r>
  </si>
  <si>
    <t xml:space="preserve">・各数値セルにマウスを乗せると取得元・時点のコメントが表示されます。</t>
  </si>
  <si>
    <r>
      <rPr>
        <b val="true"/>
        <sz val="14"/>
        <rFont val="WenQuanYi Zen Hei"/>
        <family val="2"/>
      </rPr>
      <t xml:space="preserve">最近の</t>
    </r>
    <r>
      <rPr>
        <b val="true"/>
        <sz val="14"/>
        <rFont val="Arial"/>
        <family val="0"/>
        <charset val="1"/>
      </rPr>
      <t xml:space="preserve">SNS</t>
    </r>
    <r>
      <rPr>
        <b val="true"/>
        <sz val="14"/>
        <rFont val="WenQuanYi Zen Hei"/>
        <family val="2"/>
      </rPr>
      <t xml:space="preserve">投稿・発信トピック（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WenQuanYi Zen Hei"/>
        <family val="2"/>
      </rPr>
      <t xml:space="preserve">月〜</t>
    </r>
    <r>
      <rPr>
        <b val="true"/>
        <sz val="14"/>
        <rFont val="Arial"/>
        <family val="0"/>
        <charset val="1"/>
      </rPr>
      <t xml:space="preserve">10</t>
    </r>
    <r>
      <rPr>
        <b val="true"/>
        <sz val="14"/>
        <rFont val="WenQuanYi Zen Hei"/>
        <family val="2"/>
      </rPr>
      <t xml:space="preserve">月中心）</t>
    </r>
  </si>
  <si>
    <r>
      <rPr>
        <i val="true"/>
        <sz val="9"/>
        <color rgb="FF595959"/>
        <rFont val="Arial"/>
        <family val="0"/>
        <charset val="1"/>
      </rPr>
      <t xml:space="preserve">Web</t>
    </r>
    <r>
      <rPr>
        <i val="true"/>
        <sz val="9"/>
        <color rgb="FF595959"/>
        <rFont val="WenQuanYi Zen Hei"/>
        <family val="2"/>
      </rPr>
      <t xml:space="preserve">上で確認できた投稿・告知・報道ベース。各</t>
    </r>
    <r>
      <rPr>
        <i val="true"/>
        <sz val="9"/>
        <color rgb="FF595959"/>
        <rFont val="Arial"/>
        <family val="0"/>
        <charset val="1"/>
      </rPr>
      <t xml:space="preserve">SNS</t>
    </r>
    <r>
      <rPr>
        <i val="true"/>
        <sz val="9"/>
        <color rgb="FF595959"/>
        <rFont val="WenQuanYi Zen Hei"/>
        <family val="2"/>
      </rPr>
      <t xml:space="preserve">のタイムライン全件を閲覧したものではありません。</t>
    </r>
  </si>
  <si>
    <t xml:space="preserve">プラットフォーム</t>
  </si>
  <si>
    <r>
      <rPr>
        <b val="true"/>
        <sz val="10"/>
        <color rgb="FFFFFFFF"/>
        <rFont val="WenQuanYi Zen Hei"/>
        <family val="2"/>
      </rPr>
      <t xml:space="preserve">日付（</t>
    </r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年）</t>
    </r>
  </si>
  <si>
    <t xml:space="preserve">投稿・発信内容</t>
  </si>
  <si>
    <t xml:space="preserve">投稿の種類</t>
  </si>
  <si>
    <t xml:space="preserve">備考・反響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</si>
  <si>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月頃</t>
    </r>
  </si>
  <si>
    <t xml:space="preserve">制作中の新曲を一部公開し「タイトル案たくさんありがとね！まだまだあったら教えて」とファンにタイトル案を募集</t>
  </si>
  <si>
    <t xml:space="preserve">制作過程の共有／ファン参加型</t>
  </si>
  <si>
    <t xml:space="preserve">ファンとの共創型コミュニケーション</t>
  </si>
  <si>
    <t xml:space="preserve">TikTok / YouTube Shorts</t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</si>
  <si>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月</t>
    </r>
  </si>
  <si>
    <r>
      <rPr>
        <sz val="10"/>
        <rFont val="WenQuanYi Zen Hei"/>
        <family val="2"/>
      </rPr>
      <t xml:space="preserve">新曲「アイノウタ」</t>
    </r>
    <r>
      <rPr>
        <sz val="10"/>
        <rFont val="Arial"/>
        <family val="0"/>
        <charset val="1"/>
      </rPr>
      <t xml:space="preserve">6/19 0</t>
    </r>
    <r>
      <rPr>
        <sz val="10"/>
        <rFont val="WenQuanYi Zen Hei"/>
        <family val="2"/>
      </rPr>
      <t xml:space="preserve">時リリース告知動画（</t>
    </r>
    <r>
      <rPr>
        <sz val="10"/>
        <rFont val="Arial"/>
        <family val="0"/>
        <charset val="1"/>
      </rPr>
      <t xml:space="preserve">#</t>
    </r>
    <r>
      <rPr>
        <sz val="10"/>
        <rFont val="WenQuanYi Zen Hei"/>
        <family val="2"/>
      </rPr>
      <t xml:space="preserve">アイノウタ </t>
    </r>
    <r>
      <rPr>
        <sz val="10"/>
        <rFont val="Arial"/>
        <family val="0"/>
        <charset val="1"/>
      </rPr>
      <t xml:space="preserve">#TaniYuuki #</t>
    </r>
    <r>
      <rPr>
        <sz val="10"/>
        <rFont val="WenQuanYi Zen Hei"/>
        <family val="2"/>
      </rPr>
      <t xml:space="preserve">新曲）</t>
    </r>
  </si>
  <si>
    <t xml:space="preserve">リリース告知</t>
  </si>
  <si>
    <r>
      <rPr>
        <sz val="10"/>
        <rFont val="WenQuanYi Zen Hei"/>
        <family val="2"/>
      </rPr>
      <t xml:space="preserve">告知投稿で約</t>
    </r>
    <r>
      <rPr>
        <sz val="10"/>
        <rFont val="Arial"/>
        <family val="0"/>
        <charset val="1"/>
      </rPr>
      <t xml:space="preserve">3.8</t>
    </r>
    <r>
      <rPr>
        <sz val="10"/>
        <rFont val="WenQuanYi Zen Hei"/>
        <family val="2"/>
      </rPr>
      <t xml:space="preserve">万いいね・</t>
    </r>
    <r>
      <rPr>
        <sz val="10"/>
        <rFont val="Arial"/>
        <family val="0"/>
        <charset val="1"/>
      </rPr>
      <t xml:space="preserve">758</t>
    </r>
    <r>
      <rPr>
        <sz val="10"/>
        <rFont val="WenQuanYi Zen Hei"/>
        <family val="2"/>
      </rPr>
      <t xml:space="preserve">コメントの例あり。ツアー大阪公演（</t>
    </r>
    <r>
      <rPr>
        <sz val="10"/>
        <rFont val="Arial"/>
        <family val="0"/>
        <charset val="1"/>
      </rPr>
      <t xml:space="preserve">6/10</t>
    </r>
    <r>
      <rPr>
        <sz val="10"/>
        <rFont val="WenQuanYi Zen Hei"/>
        <family val="2"/>
      </rPr>
      <t xml:space="preserve">）で初披露</t>
    </r>
  </si>
  <si>
    <r>
      <rPr>
        <sz val="10"/>
        <rFont val="Arial"/>
        <family val="0"/>
        <charset val="1"/>
      </rPr>
      <t xml:space="preserve">YouTube / </t>
    </r>
    <r>
      <rPr>
        <sz val="10"/>
        <rFont val="WenQuanYi Zen Hei"/>
        <family val="2"/>
      </rPr>
      <t xml:space="preserve">各</t>
    </r>
    <r>
      <rPr>
        <sz val="10"/>
        <rFont val="Arial"/>
        <family val="0"/>
        <charset val="1"/>
      </rPr>
      <t xml:space="preserve">SNS</t>
    </r>
  </si>
  <si>
    <t xml:space="preserve">9/25</t>
  </si>
  <si>
    <r>
      <rPr>
        <sz val="10"/>
        <rFont val="WenQuanYi Zen Hei"/>
        <family val="2"/>
      </rPr>
      <t xml:space="preserve">新曲「エイリアンズ」デジタル配信＆</t>
    </r>
    <r>
      <rPr>
        <sz val="10"/>
        <rFont val="Arial"/>
        <family val="0"/>
        <charset val="1"/>
      </rPr>
      <t xml:space="preserve">MV</t>
    </r>
    <r>
      <rPr>
        <sz val="10"/>
        <rFont val="WenQuanYi Zen Hei"/>
        <family val="2"/>
      </rPr>
      <t xml:space="preserve">公開</t>
    </r>
  </si>
  <si>
    <r>
      <rPr>
        <sz val="10"/>
        <rFont val="Arial"/>
        <family val="0"/>
        <charset val="1"/>
      </rPr>
      <t xml:space="preserve">MV</t>
    </r>
    <r>
      <rPr>
        <sz val="10"/>
        <rFont val="WenQuanYi Zen Hei"/>
        <family val="2"/>
      </rPr>
      <t xml:space="preserve">公開／リリース</t>
    </r>
  </si>
  <si>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で「明るくアップテンポ」「転調が良い」と好評（</t>
    </r>
    <r>
      <rPr>
        <sz val="10"/>
        <rFont val="Arial"/>
        <family val="0"/>
        <charset val="1"/>
      </rPr>
      <t xml:space="preserve">Yahoo!</t>
    </r>
    <r>
      <rPr>
        <sz val="10"/>
        <rFont val="WenQuanYi Zen Hei"/>
        <family val="2"/>
      </rPr>
      <t xml:space="preserve">リアルタイムまとめ）</t>
    </r>
  </si>
  <si>
    <t xml:space="preserve">夏〜秋</t>
  </si>
  <si>
    <r>
      <rPr>
        <sz val="10"/>
        <rFont val="WenQuanYi Zen Hei"/>
        <family val="2"/>
      </rPr>
      <t xml:space="preserve">松江水郷祭などフェス出演後の御礼ライブ動画（</t>
    </r>
    <r>
      <rPr>
        <sz val="10"/>
        <rFont val="Arial"/>
        <family val="0"/>
        <charset val="1"/>
      </rPr>
      <t xml:space="preserve">#WXY #</t>
    </r>
    <r>
      <rPr>
        <sz val="10"/>
        <rFont val="WenQuanYi Zen Hei"/>
        <family val="2"/>
      </rPr>
      <t xml:space="preserve">ライブ）</t>
    </r>
  </si>
  <si>
    <t xml:space="preserve">ライブ映像／御礼</t>
  </si>
  <si>
    <r>
      <rPr>
        <sz val="10"/>
        <rFont val="Arial"/>
        <family val="0"/>
        <charset val="1"/>
      </rPr>
      <t xml:space="preserve">KOBE AUTUMN FES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CARAVAN MUSIC FES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ASUTO MUSIC PARK</t>
    </r>
    <r>
      <rPr>
        <sz val="10"/>
        <rFont val="WenQuanYi Zen Hei"/>
        <family val="2"/>
      </rPr>
      <t xml:space="preserve">などにも出演</t>
    </r>
  </si>
  <si>
    <r>
      <rPr>
        <sz val="10"/>
        <rFont val="WenQuanYi Zen Hei"/>
        <family val="2"/>
      </rPr>
      <t xml:space="preserve">オフィシャル</t>
    </r>
    <r>
      <rPr>
        <sz val="10"/>
        <rFont val="Arial"/>
        <family val="0"/>
        <charset val="1"/>
      </rPr>
      <t xml:space="preserve">HP / FC</t>
    </r>
  </si>
  <si>
    <t xml:space="preserve">10/14</t>
  </si>
  <si>
    <r>
      <rPr>
        <sz val="10"/>
        <rFont val="Arial"/>
        <family val="0"/>
        <charset val="1"/>
      </rPr>
      <t xml:space="preserve">EP</t>
    </r>
    <r>
      <rPr>
        <sz val="10"/>
        <rFont val="WenQuanYi Zen Hei"/>
        <family val="2"/>
      </rPr>
      <t xml:space="preserve">『</t>
    </r>
    <r>
      <rPr>
        <sz val="10"/>
        <rFont val="Arial"/>
        <family val="0"/>
        <charset val="1"/>
      </rPr>
      <t xml:space="preserve">SPACE RENDEZVOUS</t>
    </r>
    <r>
      <rPr>
        <sz val="10"/>
        <rFont val="WenQuanYi Zen Hei"/>
        <family val="2"/>
      </rPr>
      <t xml:space="preserve">』リリース、</t>
    </r>
    <r>
      <rPr>
        <sz val="10"/>
        <rFont val="Arial"/>
        <family val="0"/>
        <charset val="1"/>
      </rPr>
      <t xml:space="preserve">Live Tour 26-27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11/7</t>
    </r>
    <r>
      <rPr>
        <sz val="10"/>
        <rFont val="WenQuanYi Zen Hei"/>
        <family val="2"/>
      </rPr>
      <t xml:space="preserve">愛知、</t>
    </r>
    <r>
      <rPr>
        <sz val="10"/>
        <rFont val="Arial"/>
        <family val="0"/>
        <charset val="1"/>
      </rPr>
      <t xml:space="preserve">11/23</t>
    </r>
    <r>
      <rPr>
        <sz val="10"/>
        <rFont val="WenQuanYi Zen Hei"/>
        <family val="2"/>
      </rPr>
      <t xml:space="preserve">新潟、</t>
    </r>
    <r>
      <rPr>
        <sz val="10"/>
        <rFont val="Arial"/>
        <family val="0"/>
        <charset val="1"/>
      </rPr>
      <t xml:space="preserve">11/28</t>
    </r>
    <r>
      <rPr>
        <sz val="10"/>
        <rFont val="WenQuanYi Zen Hei"/>
        <family val="2"/>
      </rPr>
      <t xml:space="preserve">香川 ほか）</t>
    </r>
  </si>
  <si>
    <t xml:space="preserve">作品・ツアー情報</t>
  </si>
  <si>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「谷乃湯」／</t>
    </r>
    <r>
      <rPr>
        <sz val="10"/>
        <rFont val="Arial"/>
        <family val="0"/>
        <charset val="1"/>
      </rPr>
      <t xml:space="preserve">LINE</t>
    </r>
    <r>
      <rPr>
        <sz val="10"/>
        <rFont val="WenQuanYi Zen Hei"/>
        <family val="2"/>
      </rPr>
      <t xml:space="preserve">公式（友だち約</t>
    </r>
    <r>
      <rPr>
        <sz val="10"/>
        <rFont val="Arial"/>
        <family val="0"/>
        <charset val="1"/>
      </rPr>
      <t xml:space="preserve">2.9</t>
    </r>
    <r>
      <rPr>
        <sz val="10"/>
        <rFont val="WenQuanYi Zen Hei"/>
        <family val="2"/>
      </rPr>
      <t xml:space="preserve">万）でも告知</t>
    </r>
  </si>
  <si>
    <r>
      <rPr>
        <sz val="10"/>
        <rFont val="Arial"/>
        <family val="0"/>
        <charset val="1"/>
      </rPr>
      <t xml:space="preserve">X / Instagram</t>
    </r>
    <r>
      <rPr>
        <sz val="10"/>
        <rFont val="WenQuanYi Zen Hei"/>
        <family val="2"/>
      </rPr>
      <t xml:space="preserve">（鍵アカ）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</si>
  <si>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</t>
    </r>
  </si>
  <si>
    <r>
      <rPr>
        <sz val="10"/>
        <rFont val="WenQuanYi Zen Hei"/>
        <family val="2"/>
      </rPr>
      <t xml:space="preserve">アルバム『</t>
    </r>
    <r>
      <rPr>
        <sz val="10"/>
        <rFont val="Arial"/>
        <family val="0"/>
        <charset val="1"/>
      </rPr>
      <t xml:space="preserve">POPS</t>
    </r>
    <r>
      <rPr>
        <sz val="10"/>
        <rFont val="WenQuanYi Zen Hei"/>
        <family val="2"/>
      </rPr>
      <t xml:space="preserve">』発売前、</t>
    </r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の鍵アカウントで連日ポスターを発信</t>
    </r>
  </si>
  <si>
    <t xml:space="preserve">ティザー／仕掛け型</t>
  </si>
  <si>
    <t xml:space="preserve">ファンの考察・拡散を誘発する演出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</si>
  <si>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月末</t>
    </r>
  </si>
  <si>
    <r>
      <rPr>
        <sz val="10"/>
        <rFont val="WenQuanYi Zen Hei"/>
        <family val="2"/>
      </rPr>
      <t xml:space="preserve">『</t>
    </r>
    <r>
      <rPr>
        <sz val="10"/>
        <rFont val="Arial"/>
        <family val="0"/>
        <charset val="1"/>
      </rPr>
      <t xml:space="preserve">POPS</t>
    </r>
    <r>
      <rPr>
        <sz val="10"/>
        <rFont val="WenQuanYi Zen Hei"/>
        <family val="2"/>
      </rPr>
      <t xml:space="preserve">』発売に合わせ、日本アーティスト初の</t>
    </r>
    <r>
      <rPr>
        <sz val="10"/>
        <rFont val="Arial"/>
        <family val="0"/>
        <charset val="1"/>
      </rPr>
      <t xml:space="preserve">TikTok</t>
    </r>
    <r>
      <rPr>
        <sz val="10"/>
        <rFont val="WenQuanYi Zen Hei"/>
        <family val="2"/>
      </rPr>
      <t xml:space="preserve">グローバル・キャンペーン実施</t>
    </r>
  </si>
  <si>
    <t xml:space="preserve">キャンペーン</t>
  </si>
  <si>
    <t xml:space="preserve">海外リーチも意識した展開</t>
  </si>
  <si>
    <t xml:space="preserve">YouTube</t>
  </si>
  <si>
    <t xml:space="preserve">10/3</t>
  </si>
  <si>
    <r>
      <rPr>
        <sz val="10"/>
        <rFont val="WenQuanYi Zen Hei"/>
        <family val="2"/>
      </rPr>
      <t xml:space="preserve">「共犯」</t>
    </r>
    <r>
      <rPr>
        <sz val="10"/>
        <rFont val="Arial"/>
        <family val="0"/>
        <charset val="1"/>
      </rPr>
      <t xml:space="preserve">MV</t>
    </r>
    <r>
      <rPr>
        <sz val="10"/>
        <rFont val="WenQuanYi Zen Hei"/>
        <family val="2"/>
      </rPr>
      <t xml:space="preserve">をプレミア公開（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時）＋『</t>
    </r>
    <r>
      <rPr>
        <sz val="10"/>
        <rFont val="Arial"/>
        <family val="0"/>
        <charset val="1"/>
      </rPr>
      <t xml:space="preserve">POPS</t>
    </r>
    <r>
      <rPr>
        <sz val="10"/>
        <rFont val="WenQuanYi Zen Hei"/>
        <family val="2"/>
      </rPr>
      <t xml:space="preserve">』全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曲ポスタートレーラー公開</t>
    </r>
  </si>
  <si>
    <r>
      <rPr>
        <sz val="10"/>
        <rFont val="Arial"/>
        <family val="0"/>
        <charset val="1"/>
      </rPr>
      <t xml:space="preserve">MV</t>
    </r>
    <r>
      <rPr>
        <sz val="10"/>
        <rFont val="WenQuanYi Zen Hei"/>
        <family val="2"/>
      </rPr>
      <t xml:space="preserve">／トレーラー</t>
    </r>
  </si>
  <si>
    <r>
      <rPr>
        <sz val="10"/>
        <rFont val="WenQuanYi Zen Hei"/>
        <family val="2"/>
      </rPr>
      <t xml:space="preserve">公開前日に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で日時告知→プレミア公開で同時視聴を演出</t>
    </r>
  </si>
  <si>
    <r>
      <rPr>
        <sz val="10"/>
        <rFont val="WenQuanYi Zen Hei"/>
        <family val="2"/>
      </rPr>
      <t xml:space="preserve">その他（</t>
    </r>
    <r>
      <rPr>
        <sz val="10"/>
        <rFont val="Arial"/>
        <family val="0"/>
        <charset val="1"/>
      </rPr>
      <t xml:space="preserve">Spotify</t>
    </r>
    <r>
      <rPr>
        <sz val="10"/>
        <rFont val="WenQuanYi Zen Hei"/>
        <family val="2"/>
      </rPr>
      <t xml:space="preserve">）</t>
    </r>
  </si>
  <si>
    <t xml:space="preserve">10/4</t>
  </si>
  <si>
    <r>
      <rPr>
        <sz val="10"/>
        <rFont val="Arial"/>
        <family val="0"/>
        <charset val="1"/>
      </rPr>
      <t xml:space="preserve">Spotify</t>
    </r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Liner Voice+</t>
    </r>
    <r>
      <rPr>
        <sz val="10"/>
        <rFont val="WenQuanYi Zen Hei"/>
        <family val="2"/>
      </rPr>
      <t xml:space="preserve">」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人限定公開収録</t>
    </r>
  </si>
  <si>
    <t xml:space="preserve">イベント／音声コンテンツ</t>
  </si>
  <si>
    <t xml:space="preserve">楽曲制作背景を本人が語る</t>
  </si>
  <si>
    <t xml:space="preserve">5/20</t>
  </si>
  <si>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#</t>
    </r>
    <r>
      <rPr>
        <sz val="10"/>
        <rFont val="WenQuanYi Zen Hei"/>
        <family val="2"/>
      </rPr>
      <t xml:space="preserve">青りんごの日」初ライブ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周年の報告投稿</t>
    </r>
  </si>
  <si>
    <t xml:space="preserve">記念日投稿</t>
  </si>
  <si>
    <t xml:space="preserve">恒例の記念日ハッシュタグで祝福が集まる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</si>
  <si>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</si>
  <si>
    <t xml:space="preserve">アジアツアー合間の上海散歩などプライベートショット</t>
  </si>
  <si>
    <t xml:space="preserve">オフショット／日常</t>
  </si>
  <si>
    <t xml:space="preserve">笑顔のプライベート写真が報道される</t>
  </si>
  <si>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（スタッフ）</t>
    </r>
  </si>
  <si>
    <r>
      <rPr>
        <sz val="10"/>
        <rFont val="WenQuanYi Zen Hei"/>
        <family val="2"/>
      </rPr>
      <t xml:space="preserve">ツアー・出演告知。本人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は</t>
    </r>
    <r>
      <rPr>
        <sz val="10"/>
        <rFont val="Arial"/>
        <family val="0"/>
        <charset val="1"/>
      </rPr>
      <t xml:space="preserve">2022</t>
    </r>
    <r>
      <rPr>
        <sz val="10"/>
        <rFont val="WenQuanYi Zen Hei"/>
        <family val="2"/>
      </rPr>
      <t xml:space="preserve">年に全削除済み、スタッフアカウントが公式発信</t>
    </r>
  </si>
  <si>
    <t xml:space="preserve">告知中心</t>
  </si>
  <si>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の切り抜きについて本人がファンに呼びかけ（モデルプレス報道）</t>
    </r>
  </si>
  <si>
    <r>
      <rPr>
        <sz val="10"/>
        <rFont val="WenQuanYi Zen Hei"/>
        <family val="2"/>
      </rPr>
      <t xml:space="preserve">ライブ／各</t>
    </r>
    <r>
      <rPr>
        <sz val="10"/>
        <rFont val="Arial"/>
        <family val="0"/>
        <charset val="1"/>
      </rPr>
      <t xml:space="preserve">SNS</t>
    </r>
  </si>
  <si>
    <t xml:space="preserve">7/25</t>
  </si>
  <si>
    <r>
      <rPr>
        <sz val="10"/>
        <rFont val="WenQuanYi Zen Hei"/>
        <family val="2"/>
      </rPr>
      <t xml:space="preserve">フジロック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出演、</t>
    </r>
    <r>
      <rPr>
        <sz val="10"/>
        <rFont val="Arial"/>
        <family val="0"/>
        <charset val="1"/>
      </rPr>
      <t xml:space="preserve">Pre: Prema Tour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月〜）</t>
    </r>
  </si>
  <si>
    <t xml:space="preserve">ライブ</t>
  </si>
  <si>
    <r>
      <rPr>
        <sz val="10"/>
        <rFont val="Arial"/>
        <family val="0"/>
        <charset val="1"/>
      </rPr>
      <t xml:space="preserve">Yahoo!</t>
    </r>
    <r>
      <rPr>
        <sz val="10"/>
        <rFont val="WenQuanYi Zen Hei"/>
        <family val="2"/>
      </rPr>
      <t xml:space="preserve">リアルタイムでバズ</t>
    </r>
  </si>
  <si>
    <r>
      <rPr>
        <sz val="10"/>
        <rFont val="WenQuanYi Zen Hei"/>
        <family val="2"/>
      </rPr>
      <t xml:space="preserve">オフィシャル</t>
    </r>
    <r>
      <rPr>
        <sz val="10"/>
        <rFont val="Arial"/>
        <family val="0"/>
        <charset val="1"/>
      </rPr>
      <t xml:space="preserve">HP</t>
    </r>
  </si>
  <si>
    <r>
      <rPr>
        <sz val="10"/>
        <rFont val="Arial"/>
        <family val="0"/>
        <charset val="1"/>
      </rPr>
      <t xml:space="preserve">10/31</t>
    </r>
    <r>
      <rPr>
        <sz val="10"/>
        <rFont val="WenQuanYi Zen Hei"/>
        <family val="2"/>
      </rPr>
      <t xml:space="preserve">〜</t>
    </r>
  </si>
  <si>
    <r>
      <rPr>
        <sz val="10"/>
        <rFont val="Arial"/>
        <family val="0"/>
        <charset val="1"/>
      </rPr>
      <t xml:space="preserve">Prema World Tour</t>
    </r>
    <r>
      <rPr>
        <sz val="10"/>
        <rFont val="WenQuanYi Zen Hei"/>
        <family val="2"/>
      </rPr>
      <t xml:space="preserve">開幕（台湾・高雄）、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月福岡・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月大阪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東京ドーム、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年夏 欧州・北米</t>
    </r>
  </si>
  <si>
    <t xml:space="preserve">ツアー告知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</si>
  <si>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月に新曲「</t>
    </r>
    <r>
      <rPr>
        <sz val="10"/>
        <rFont val="Arial"/>
        <family val="0"/>
        <charset val="1"/>
      </rPr>
      <t xml:space="preserve">My Place</t>
    </r>
    <r>
      <rPr>
        <sz val="10"/>
        <rFont val="WenQuanYi Zen Hei"/>
        <family val="2"/>
      </rPr>
      <t xml:space="preserve">」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</si>
  <si>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歳の誕生日にファンのイラスト・グッズ祝福が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トレンド入り</t>
    </r>
  </si>
  <si>
    <r>
      <rPr>
        <sz val="10"/>
        <rFont val="WenQuanYi Zen Hei"/>
        <family val="2"/>
      </rPr>
      <t xml:space="preserve">ファン発信（</t>
    </r>
    <r>
      <rPr>
        <sz val="10"/>
        <rFont val="Arial"/>
        <family val="0"/>
        <charset val="1"/>
      </rPr>
      <t xml:space="preserve">UGC</t>
    </r>
    <r>
      <rPr>
        <sz val="10"/>
        <rFont val="WenQuanYi Zen Hei"/>
        <family val="2"/>
      </rPr>
      <t xml:space="preserve">）</t>
    </r>
  </si>
  <si>
    <t xml:space="preserve">本人発信より周辺の盛り上がりが大きい</t>
  </si>
  <si>
    <r>
      <rPr>
        <sz val="10"/>
        <rFont val="WenQuanYi Zen Hei"/>
        <family val="2"/>
      </rPr>
      <t xml:space="preserve">各</t>
    </r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HP</t>
    </r>
  </si>
  <si>
    <r>
      <rPr>
        <sz val="10"/>
        <rFont val="Arial"/>
        <family val="0"/>
        <charset val="1"/>
      </rPr>
      <t xml:space="preserve">3/28</t>
    </r>
    <r>
      <rPr>
        <sz val="10"/>
        <rFont val="WenQuanYi Zen Hei"/>
        <family val="2"/>
      </rPr>
      <t xml:space="preserve">〜</t>
    </r>
  </si>
  <si>
    <r>
      <rPr>
        <sz val="10"/>
        <rFont val="Arial"/>
        <family val="0"/>
        <charset val="1"/>
      </rPr>
      <t xml:space="preserve">DOME TOUR 2026 "SILENCE" </t>
    </r>
    <r>
      <rPr>
        <sz val="10"/>
        <rFont val="WenQuanYi Zen Hei"/>
        <family val="2"/>
      </rPr>
      <t xml:space="preserve">完走（約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万人）、新曲「イデアが溢れて眠れない」月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主題歌</t>
    </r>
  </si>
  <si>
    <t xml:space="preserve">ライブ・タイアップ告知</t>
  </si>
  <si>
    <t xml:space="preserve">セトリのプレイリスト公開</t>
  </si>
  <si>
    <t xml:space="preserve">秋〜</t>
  </si>
  <si>
    <r>
      <rPr>
        <sz val="10"/>
        <rFont val="WenQuanYi Zen Hei"/>
        <family val="2"/>
      </rPr>
      <t xml:space="preserve">初のアジアアリーナツアー（東京・ソウル・香港・福岡・台北・上海）、</t>
    </r>
    <r>
      <rPr>
        <sz val="10"/>
        <rFont val="Arial"/>
        <family val="0"/>
        <charset val="1"/>
      </rPr>
      <t xml:space="preserve">JAPAN ARENA TOUR 2027-2028</t>
    </r>
  </si>
  <si>
    <r>
      <rPr>
        <sz val="10"/>
        <rFont val="WenQuanYi Zen Hei"/>
        <family val="2"/>
      </rPr>
      <t xml:space="preserve">アートワークは</t>
    </r>
    <r>
      <rPr>
        <sz val="10"/>
        <rFont val="Arial"/>
        <family val="0"/>
        <charset val="1"/>
      </rPr>
      <t xml:space="preserve">@Vaundy_AWS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ART Work Studio</t>
    </r>
    <r>
      <rPr>
        <sz val="10"/>
        <rFont val="WenQuanYi Zen Hei"/>
        <family val="2"/>
      </rPr>
      <t xml:space="preserve">）で発信</t>
    </r>
  </si>
  <si>
    <t xml:space="preserve">9/5-6</t>
  </si>
  <si>
    <t xml:space="preserve">富士急ハイランド野外ライブ「一富士二鷹三優里」</t>
  </si>
  <si>
    <t xml:space="preserve">—</t>
  </si>
  <si>
    <r>
      <rPr>
        <sz val="10"/>
        <rFont val="Arial"/>
        <family val="0"/>
        <charset val="1"/>
      </rPr>
      <t xml:space="preserve">10/5</t>
    </r>
    <r>
      <rPr>
        <sz val="10"/>
        <rFont val="WenQuanYi Zen Hei"/>
        <family val="2"/>
      </rPr>
      <t xml:space="preserve">〜</t>
    </r>
  </si>
  <si>
    <r>
      <rPr>
        <sz val="10"/>
        <rFont val="WenQuanYi Zen Hei"/>
        <family val="2"/>
      </rPr>
      <t xml:space="preserve">ツアー「</t>
    </r>
    <r>
      <rPr>
        <sz val="10"/>
        <rFont val="Arial"/>
        <family val="0"/>
        <charset val="1"/>
      </rPr>
      <t xml:space="preserve">YUURI ASIA TOUR 2025</t>
    </r>
    <r>
      <rPr>
        <sz val="10"/>
        <rFont val="WenQuanYi Zen Hei"/>
        <family val="2"/>
      </rPr>
      <t xml:space="preserve">で行けなくてごめんね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」香川・愛媛、</t>
    </r>
    <r>
      <rPr>
        <sz val="10"/>
        <rFont val="Arial"/>
        <family val="0"/>
        <charset val="1"/>
      </rPr>
      <t xml:space="preserve">11/27</t>
    </r>
    <r>
      <rPr>
        <sz val="10"/>
        <rFont val="WenQuanYi Zen Hei"/>
        <family val="2"/>
      </rPr>
      <t xml:space="preserve">香港、</t>
    </r>
    <r>
      <rPr>
        <sz val="10"/>
        <rFont val="Arial"/>
        <family val="0"/>
        <charset val="1"/>
      </rPr>
      <t xml:space="preserve">12/19 K</t>
    </r>
    <r>
      <rPr>
        <sz val="10"/>
        <rFont val="WenQuanYi Zen Hei"/>
        <family val="2"/>
      </rPr>
      <t xml:space="preserve">アリーナ横浜</t>
    </r>
  </si>
  <si>
    <t xml:space="preserve">ユーモアのあるツアータイトルが特徴</t>
  </si>
  <si>
    <t xml:space="preserve">通年</t>
  </si>
  <si>
    <r>
      <rPr>
        <sz val="10"/>
        <rFont val="Arial"/>
        <family val="0"/>
        <charset val="1"/>
      </rPr>
      <t xml:space="preserve">THE FIRST TAKE</t>
    </r>
    <r>
      <rPr>
        <sz val="10"/>
        <rFont val="WenQuanYi Zen Hei"/>
        <family val="2"/>
      </rPr>
      <t xml:space="preserve">歌唱動画が</t>
    </r>
    <r>
      <rPr>
        <sz val="10"/>
        <rFont val="Arial"/>
        <family val="0"/>
        <charset val="1"/>
      </rPr>
      <t xml:space="preserve">1.32</t>
    </r>
    <r>
      <rPr>
        <sz val="10"/>
        <rFont val="WenQuanYi Zen Hei"/>
        <family val="2"/>
      </rPr>
      <t xml:space="preserve">億回超。ドラマ『再会〜</t>
    </r>
    <r>
      <rPr>
        <sz val="10"/>
        <rFont val="Arial"/>
        <family val="0"/>
        <charset val="1"/>
      </rPr>
      <t xml:space="preserve">Silent Truth</t>
    </r>
    <r>
      <rPr>
        <sz val="10"/>
        <rFont val="WenQuanYi Zen Hei"/>
        <family val="2"/>
      </rPr>
      <t xml:space="preserve">〜』主題歌「世界が終わりました」（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月〜）</t>
    </r>
  </si>
  <si>
    <t xml:space="preserve">パフォーマンス動画</t>
  </si>
  <si>
    <r>
      <rPr>
        <sz val="10"/>
        <rFont val="Arial"/>
        <family val="0"/>
        <charset val="1"/>
      </rPr>
      <t xml:space="preserve">TikTok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とも数十万規模で歌唱動画が強い</t>
    </r>
  </si>
  <si>
    <r>
      <rPr>
        <sz val="10"/>
        <rFont val="Arial"/>
        <family val="0"/>
        <charset val="1"/>
      </rPr>
      <t xml:space="preserve">TikTok LIVE</t>
    </r>
    <r>
      <rPr>
        <sz val="10"/>
        <rFont val="WenQuanYi Zen Hei"/>
        <family val="2"/>
      </rPr>
      <t xml:space="preserve">で『</t>
    </r>
    <r>
      <rPr>
        <sz val="10"/>
        <rFont val="Arial"/>
        <family val="0"/>
        <charset val="1"/>
      </rPr>
      <t xml:space="preserve">AIMYON BUDOKAN -1995-</t>
    </r>
    <r>
      <rPr>
        <sz val="10"/>
        <rFont val="WenQuanYi Zen Hei"/>
        <family val="2"/>
      </rPr>
      <t xml:space="preserve">』映像を生配信（レーベル</t>
    </r>
    <r>
      <rPr>
        <sz val="10"/>
        <rFont val="Arial"/>
        <family val="0"/>
        <charset val="1"/>
      </rPr>
      <t xml:space="preserve">unBORDE</t>
    </r>
    <r>
      <rPr>
        <sz val="10"/>
        <rFont val="WenQuanYi Zen Hei"/>
        <family val="2"/>
      </rPr>
      <t xml:space="preserve">が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で告知）</t>
    </r>
  </si>
  <si>
    <t xml:space="preserve">ライブ配信</t>
  </si>
  <si>
    <t xml:space="preserve">過去ライブ映像の再活用</t>
  </si>
  <si>
    <t xml:space="preserve">9/9</t>
  </si>
  <si>
    <r>
      <rPr>
        <sz val="10"/>
        <rFont val="WenQuanYi Zen Hei"/>
        <family val="2"/>
      </rPr>
      <t xml:space="preserve">初のベストアルバム『</t>
    </r>
    <r>
      <rPr>
        <sz val="10"/>
        <rFont val="Arial"/>
        <family val="0"/>
        <charset val="1"/>
      </rPr>
      <t xml:space="preserve">AIMYON BEST ALBUM - </t>
    </r>
    <r>
      <rPr>
        <sz val="10"/>
        <rFont val="WenQuanYi Zen Hei"/>
        <family val="2"/>
      </rPr>
      <t xml:space="preserve">唇を追え！』発売</t>
    </r>
  </si>
  <si>
    <t xml:space="preserve">11/30-12/1</t>
  </si>
  <si>
    <r>
      <rPr>
        <sz val="10"/>
        <rFont val="WenQuanYi Zen Hei"/>
        <family val="2"/>
      </rPr>
      <t xml:space="preserve">メジャーデビュー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周年 日本武道館（初バンド編成）、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年アリーナツアー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都市</t>
    </r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公演</t>
    </r>
  </si>
  <si>
    <t xml:space="preserve">9/23</t>
  </si>
  <si>
    <r>
      <rPr>
        <sz val="10"/>
        <rFont val="WenQuanYi Zen Hei"/>
        <family val="2"/>
      </rPr>
      <t xml:space="preserve">新曲「運命さがし」</t>
    </r>
    <r>
      <rPr>
        <sz val="10"/>
        <rFont val="Arial"/>
        <family val="0"/>
        <charset val="1"/>
      </rPr>
      <t xml:space="preserve">MV</t>
    </r>
    <r>
      <rPr>
        <sz val="10"/>
        <rFont val="WenQuanYi Zen Hei"/>
        <family val="2"/>
      </rPr>
      <t xml:space="preserve">プレミア公開（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時）</t>
    </r>
  </si>
  <si>
    <r>
      <rPr>
        <sz val="10"/>
        <rFont val="Arial"/>
        <family val="0"/>
        <charset val="1"/>
      </rPr>
      <t xml:space="preserve">MV</t>
    </r>
    <r>
      <rPr>
        <sz val="10"/>
        <rFont val="WenQuanYi Zen Hei"/>
        <family val="2"/>
      </rPr>
      <t xml:space="preserve">公開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</si>
  <si>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</si>
  <si>
    <r>
      <rPr>
        <sz val="10"/>
        <rFont val="WenQuanYi Zen Hei"/>
        <family val="2"/>
      </rPr>
      <t xml:space="preserve">アリーナツアー「マカロックツアー</t>
    </r>
    <r>
      <rPr>
        <sz val="10"/>
        <rFont val="Arial"/>
        <family val="0"/>
        <charset val="1"/>
      </rPr>
      <t xml:space="preserve">vol.22</t>
    </r>
    <r>
      <rPr>
        <sz val="10"/>
        <rFont val="WenQuanYi Zen Hei"/>
        <family val="2"/>
      </rPr>
      <t xml:space="preserve">〜いま、きみがすき！篇〜」（</t>
    </r>
    <r>
      <rPr>
        <sz val="10"/>
        <rFont val="Arial"/>
        <family val="0"/>
        <charset val="1"/>
      </rPr>
      <t xml:space="preserve">10/3</t>
    </r>
    <r>
      <rPr>
        <sz val="10"/>
        <rFont val="WenQuanYi Zen Hei"/>
        <family val="2"/>
      </rPr>
      <t xml:space="preserve">大阪城ホール〜</t>
    </r>
    <r>
      <rPr>
        <sz val="10"/>
        <rFont val="Arial"/>
        <family val="0"/>
        <charset val="1"/>
      </rPr>
      <t xml:space="preserve">12/26</t>
    </r>
    <r>
      <rPr>
        <sz val="10"/>
        <rFont val="WenQuanYi Zen Hei"/>
        <family val="2"/>
      </rPr>
      <t xml:space="preserve">）先行・チケットトレード告知</t>
    </r>
  </si>
  <si>
    <t xml:space="preserve">チケット告知</t>
  </si>
  <si>
    <t xml:space="preserve">絵文字・罫線を多用した読みやすい告知フォーマット</t>
  </si>
  <si>
    <r>
      <rPr>
        <sz val="10"/>
        <rFont val="WenQuanYi Zen Hei"/>
        <family val="2"/>
      </rPr>
      <t xml:space="preserve">その他（</t>
    </r>
    <r>
      <rPr>
        <sz val="10"/>
        <rFont val="Arial"/>
        <family val="0"/>
        <charset val="1"/>
      </rPr>
      <t xml:space="preserve">FC OKKAKE</t>
    </r>
    <r>
      <rPr>
        <sz val="10"/>
        <rFont val="WenQuanYi Zen Hei"/>
        <family val="2"/>
      </rPr>
      <t xml:space="preserve">）</t>
    </r>
  </si>
  <si>
    <t xml:space="preserve">7/23</t>
  </si>
  <si>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OKKAKE</t>
    </r>
    <r>
      <rPr>
        <sz val="10"/>
        <rFont val="WenQuanYi Zen Hei"/>
        <family val="2"/>
      </rPr>
      <t xml:space="preserve">」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周年 新宿</t>
    </r>
    <r>
      <rPr>
        <sz val="10"/>
        <rFont val="Arial"/>
        <family val="0"/>
        <charset val="1"/>
      </rPr>
      <t xml:space="preserve">LOFT</t>
    </r>
    <r>
      <rPr>
        <sz val="10"/>
        <rFont val="WenQuanYi Zen Hei"/>
        <family val="2"/>
      </rPr>
      <t xml:space="preserve">会員限定ワンマン</t>
    </r>
  </si>
  <si>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施策</t>
    </r>
  </si>
  <si>
    <t xml:space="preserve">ライブハウス回帰でコアファン向け</t>
  </si>
  <si>
    <t xml:space="preserve">公式アカウント・発信チャネル一覧</t>
  </si>
  <si>
    <r>
      <rPr>
        <i val="true"/>
        <sz val="9"/>
        <color rgb="FF595959"/>
        <rFont val="WenQuanYi Zen Hei"/>
        <family val="2"/>
      </rPr>
      <t xml:space="preserve">※「要確認」は</t>
    </r>
    <r>
      <rPr>
        <i val="true"/>
        <sz val="9"/>
        <color rgb="FF595959"/>
        <rFont val="Arial"/>
        <family val="0"/>
        <charset val="1"/>
      </rPr>
      <t xml:space="preserve">Web</t>
    </r>
    <r>
      <rPr>
        <i val="true"/>
        <sz val="9"/>
        <color rgb="FF595959"/>
        <rFont val="WenQuanYi Zen Hei"/>
        <family val="2"/>
      </rPr>
      <t xml:space="preserve">検索でハンドルを確証できなかったもの。</t>
    </r>
  </si>
  <si>
    <r>
      <rPr>
        <b val="true"/>
        <sz val="10"/>
        <color rgb="FFFFFFFF"/>
        <rFont val="WenQuanYi Zen Hei"/>
        <family val="2"/>
      </rPr>
      <t xml:space="preserve">オフィシャル</t>
    </r>
    <r>
      <rPr>
        <b val="true"/>
        <sz val="10"/>
        <color rgb="FFFFFFFF"/>
        <rFont val="Arial"/>
        <family val="0"/>
        <charset val="1"/>
      </rPr>
      <t xml:space="preserve">HP</t>
    </r>
  </si>
  <si>
    <t xml:space="preserve">ブログ</t>
  </si>
  <si>
    <r>
      <rPr>
        <b val="true"/>
        <sz val="10"/>
        <color rgb="FFFFFFFF"/>
        <rFont val="WenQuanYi Zen Hei"/>
        <family val="2"/>
      </rPr>
      <t xml:space="preserve">その他（</t>
    </r>
    <r>
      <rPr>
        <b val="true"/>
        <sz val="10"/>
        <color rgb="FFFFFFFF"/>
        <rFont val="Arial"/>
        <family val="0"/>
        <charset val="1"/>
      </rPr>
      <t xml:space="preserve">FC</t>
    </r>
    <r>
      <rPr>
        <b val="true"/>
        <sz val="10"/>
        <color rgb="FFFFFFFF"/>
        <rFont val="WenQuanYi Zen Hei"/>
        <family val="2"/>
      </rPr>
      <t xml:space="preserve">・</t>
    </r>
    <r>
      <rPr>
        <b val="true"/>
        <sz val="10"/>
        <color rgb="FFFFFFFF"/>
        <rFont val="Arial"/>
        <family val="0"/>
        <charset val="1"/>
      </rPr>
      <t xml:space="preserve">LINE</t>
    </r>
    <r>
      <rPr>
        <b val="true"/>
        <sz val="10"/>
        <color rgb="FFFFFFFF"/>
        <rFont val="WenQuanYi Zen Hei"/>
        <family val="2"/>
      </rPr>
      <t xml:space="preserve">・アプリ等）</t>
    </r>
  </si>
  <si>
    <t xml:space="preserve">@u_yuuki_u</t>
  </si>
  <si>
    <t xml:space="preserve">@yu___09___11</t>
  </si>
  <si>
    <t xml:space="preserve">@TaniYuuki</t>
  </si>
  <si>
    <t xml:space="preserve">taniyuuki.com</t>
  </si>
  <si>
    <t xml:space="preserve">公式ブログ確認できず</t>
  </si>
  <si>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「谷乃湯 〜たにのゆ〜」、</t>
    </r>
    <r>
      <rPr>
        <sz val="10"/>
        <rFont val="Arial"/>
        <family val="0"/>
        <charset val="1"/>
      </rPr>
      <t xml:space="preserve">LINE</t>
    </r>
    <r>
      <rPr>
        <sz val="10"/>
        <rFont val="WenQuanYi Zen Hei"/>
        <family val="2"/>
      </rPr>
      <t xml:space="preserve">公式（友だち約</t>
    </r>
    <r>
      <rPr>
        <sz val="10"/>
        <rFont val="Arial"/>
        <family val="0"/>
        <charset val="1"/>
      </rPr>
      <t xml:space="preserve">2.9</t>
    </r>
    <r>
      <rPr>
        <sz val="10"/>
        <rFont val="WenQuanYi Zen Hei"/>
        <family val="2"/>
      </rPr>
      <t xml:space="preserve">万）</t>
    </r>
  </si>
  <si>
    <r>
      <rPr>
        <sz val="10"/>
        <rFont val="WenQuanYi Zen Hei"/>
        <family val="2"/>
      </rPr>
      <t xml:space="preserve">公式アカウント＋メンバー個人</t>
    </r>
    <r>
      <rPr>
        <sz val="10"/>
        <rFont val="Arial"/>
        <family val="0"/>
        <charset val="1"/>
      </rPr>
      <t xml:space="preserve">IG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2022</t>
    </r>
    <r>
      <rPr>
        <sz val="10"/>
        <rFont val="WenQuanYi Zen Hei"/>
        <family val="2"/>
      </rPr>
      <t xml:space="preserve">年〜）</t>
    </r>
  </si>
  <si>
    <r>
      <rPr>
        <sz val="10"/>
        <rFont val="WenQuanYi Zen Hei"/>
        <family val="2"/>
      </rPr>
      <t xml:space="preserve">公式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（ハンドル要確認）</t>
    </r>
  </si>
  <si>
    <t xml:space="preserve">@mga_band_official</t>
  </si>
  <si>
    <r>
      <rPr>
        <sz val="10"/>
        <rFont val="WenQuanYi Zen Hei"/>
        <family val="2"/>
      </rPr>
      <t xml:space="preserve">公式チャンネル（</t>
    </r>
    <r>
      <rPr>
        <sz val="10"/>
        <rFont val="Arial"/>
        <family val="0"/>
        <charset val="1"/>
      </rPr>
      <t xml:space="preserve">674</t>
    </r>
    <r>
      <rPr>
        <sz val="10"/>
        <rFont val="WenQuanYi Zen Hei"/>
        <family val="2"/>
      </rPr>
      <t xml:space="preserve">万）</t>
    </r>
  </si>
  <si>
    <r>
      <rPr>
        <sz val="10"/>
        <rFont val="Arial"/>
        <family val="0"/>
        <charset val="1"/>
      </rPr>
      <t xml:space="preserve">mrsgreenapple.com</t>
    </r>
    <r>
      <rPr>
        <sz val="10"/>
        <rFont val="WenQuanYi Zen Hei"/>
        <family val="2"/>
      </rPr>
      <t xml:space="preserve">（要確認）</t>
    </r>
  </si>
  <si>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Ringo Jam</t>
    </r>
    <r>
      <rPr>
        <sz val="10"/>
        <rFont val="WenQuanYi Zen Hei"/>
        <family val="2"/>
      </rPr>
      <t xml:space="preserve">」、</t>
    </r>
    <r>
      <rPr>
        <sz val="10"/>
        <rFont val="Arial"/>
        <family val="0"/>
        <charset val="1"/>
      </rPr>
      <t xml:space="preserve">Spotify</t>
    </r>
    <r>
      <rPr>
        <sz val="10"/>
        <rFont val="WenQuanYi Zen Hei"/>
        <family val="2"/>
      </rPr>
      <t xml:space="preserve">施策、鍵アカウント演出</t>
    </r>
  </si>
  <si>
    <t xml:space="preserve">@fujiikaze</t>
  </si>
  <si>
    <r>
      <rPr>
        <sz val="10"/>
        <rFont val="Arial"/>
        <family val="0"/>
        <charset val="1"/>
      </rPr>
      <t xml:space="preserve">@fujiikazestaff</t>
    </r>
    <r>
      <rPr>
        <sz val="10"/>
        <rFont val="WenQuanYi Zen Hei"/>
        <family val="2"/>
      </rPr>
      <t xml:space="preserve">（スタッフ）</t>
    </r>
  </si>
  <si>
    <t xml:space="preserve">@fujiikaze1997</t>
  </si>
  <si>
    <t xml:space="preserve">Fujii Kaze</t>
  </si>
  <si>
    <r>
      <rPr>
        <sz val="10"/>
        <rFont val="Arial"/>
        <family val="0"/>
        <charset val="1"/>
      </rPr>
      <t xml:space="preserve">fujiikaze.com</t>
    </r>
    <r>
      <rPr>
        <sz val="10"/>
        <rFont val="WenQuanYi Zen Hei"/>
        <family val="2"/>
      </rPr>
      <t xml:space="preserve">（要確認）</t>
    </r>
  </si>
  <si>
    <t xml:space="preserve">@vaundy_engawa / @vaundy_aws</t>
  </si>
  <si>
    <r>
      <rPr>
        <sz val="10"/>
        <rFont val="WenQuanYi Zen Hei"/>
        <family val="2"/>
      </rPr>
      <t xml:space="preserve">公式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（ハンドル要確認）／</t>
    </r>
    <r>
      <rPr>
        <sz val="10"/>
        <rFont val="Arial"/>
        <family val="0"/>
        <charset val="1"/>
      </rPr>
      <t xml:space="preserve">@Vaundy_AWS</t>
    </r>
  </si>
  <si>
    <t xml:space="preserve">@vaundy_artworkstudio</t>
  </si>
  <si>
    <t xml:space="preserve">@Vaundy</t>
  </si>
  <si>
    <t xml:space="preserve">vaundy.jp</t>
  </si>
  <si>
    <r>
      <rPr>
        <sz val="10"/>
        <rFont val="WenQuanYi Zen Hei"/>
        <family val="2"/>
      </rPr>
      <t xml:space="preserve">公式アプリ・</t>
    </r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member.vaundy.jp</t>
    </r>
    <r>
      <rPr>
        <sz val="10"/>
        <rFont val="WenQuanYi Zen Hei"/>
        <family val="2"/>
      </rPr>
      <t xml:space="preserve">）</t>
    </r>
  </si>
  <si>
    <t xml:space="preserve">公式（ハンドル要確認）</t>
  </si>
  <si>
    <t xml:space="preserve">@yuuri_official</t>
  </si>
  <si>
    <t xml:space="preserve">@yuuri_music_official</t>
  </si>
  <si>
    <t xml:space="preserve">優里チャンネル</t>
  </si>
  <si>
    <t xml:space="preserve">yuuriweb.com</t>
  </si>
  <si>
    <t xml:space="preserve">@aimyon36</t>
  </si>
  <si>
    <t xml:space="preserve">@aimyonGtter</t>
  </si>
  <si>
    <t xml:space="preserve">@aimyon_official</t>
  </si>
  <si>
    <t xml:space="preserve">あいみょん公式</t>
  </si>
  <si>
    <r>
      <rPr>
        <sz val="10"/>
        <rFont val="Arial"/>
        <family val="0"/>
        <charset val="1"/>
      </rPr>
      <t xml:space="preserve">aimyon.jp</t>
    </r>
    <r>
      <rPr>
        <sz val="10"/>
        <rFont val="WenQuanYi Zen Hei"/>
        <family val="2"/>
      </rPr>
      <t xml:space="preserve">（要確認）</t>
    </r>
  </si>
  <si>
    <r>
      <rPr>
        <sz val="10"/>
        <rFont val="WenQuanYi Zen Hei"/>
        <family val="2"/>
      </rPr>
      <t xml:space="preserve">レーベル</t>
    </r>
    <r>
      <rPr>
        <sz val="10"/>
        <rFont val="Arial"/>
        <family val="0"/>
        <charset val="1"/>
      </rPr>
      <t xml:space="preserve">unBORDE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でも告知</t>
    </r>
  </si>
  <si>
    <t xml:space="preserve">@macaroniempitsu_official</t>
  </si>
  <si>
    <t xml:space="preserve">@macarock0616</t>
  </si>
  <si>
    <t xml:space="preserve">@macaroniempitsu</t>
  </si>
  <si>
    <t xml:space="preserve">公式マカロニえんぴつ</t>
  </si>
  <si>
    <t xml:space="preserve">macaroniempitsu.com</t>
  </si>
  <si>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OKKAKE</t>
    </r>
    <r>
      <rPr>
        <sz val="10"/>
        <rFont val="WenQuanYi Zen Hei"/>
        <family val="2"/>
      </rPr>
      <t xml:space="preserve">」</t>
    </r>
  </si>
  <si>
    <t xml:space="preserve">発信スタイル比較（定性評価）</t>
  </si>
  <si>
    <t xml:space="preserve">上記の確認できた投稿・報道からの調査者による定性まとめ。</t>
  </si>
  <si>
    <t xml:space="preserve">主力プラットフォーム</t>
  </si>
  <si>
    <t xml:space="preserve">発信の特徴</t>
  </si>
  <si>
    <t xml:space="preserve">強み</t>
  </si>
  <si>
    <r>
      <rPr>
        <b val="true"/>
        <sz val="10"/>
        <color rgb="FFFFFFFF"/>
        <rFont val="Arial"/>
        <family val="0"/>
        <charset val="1"/>
      </rPr>
      <t xml:space="preserve">Tani Yuuki</t>
    </r>
    <r>
      <rPr>
        <b val="true"/>
        <sz val="10"/>
        <color rgb="FFFFFFFF"/>
        <rFont val="WenQuanYi Zen Hei"/>
        <family val="2"/>
      </rPr>
      <t xml:space="preserve">が参考にできる点</t>
    </r>
  </si>
  <si>
    <r>
      <rPr>
        <sz val="10"/>
        <rFont val="Arial"/>
        <family val="0"/>
        <charset val="1"/>
      </rPr>
      <t xml:space="preserve">TikTok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YouTube</t>
    </r>
  </si>
  <si>
    <t xml:space="preserve">制作途中の曲チラ見せ、タイトル案募集などファン参加型。リリース告知・フェス御礼動画</t>
  </si>
  <si>
    <r>
      <rPr>
        <sz val="10"/>
        <rFont val="Arial"/>
        <family val="0"/>
        <charset val="1"/>
      </rPr>
      <t xml:space="preserve">TikTok</t>
    </r>
    <r>
      <rPr>
        <sz val="10"/>
        <rFont val="WenQuanYi Zen Hei"/>
        <family val="2"/>
      </rPr>
      <t xml:space="preserve">発のブレイク実績（</t>
    </r>
    <r>
      <rPr>
        <sz val="10"/>
        <rFont val="Arial"/>
        <family val="0"/>
        <charset val="1"/>
      </rPr>
      <t xml:space="preserve">W/X/Y</t>
    </r>
    <r>
      <rPr>
        <sz val="10"/>
        <rFont val="WenQuanYi Zen Hei"/>
        <family val="2"/>
      </rPr>
      <t xml:space="preserve">等）、ファンとの距離の近さ</t>
    </r>
  </si>
  <si>
    <r>
      <rPr>
        <sz val="10"/>
        <rFont val="WenQuanYi Zen Hei"/>
        <family val="2"/>
      </rPr>
      <t xml:space="preserve">（基準）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のフォロワー比率が他</t>
    </r>
    <r>
      <rPr>
        <sz val="10"/>
        <rFont val="Arial"/>
        <family val="0"/>
        <charset val="1"/>
      </rPr>
      <t xml:space="preserve">PF</t>
    </r>
    <r>
      <rPr>
        <sz val="10"/>
        <rFont val="WenQuanYi Zen Hei"/>
        <family val="2"/>
      </rPr>
      <t xml:space="preserve">に比べ低い（約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万）</t>
    </r>
  </si>
  <si>
    <r>
      <rPr>
        <sz val="10"/>
        <rFont val="Arial"/>
        <family val="0"/>
        <charset val="1"/>
      </rPr>
      <t xml:space="preserve">YouTube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Instagram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X</t>
    </r>
  </si>
  <si>
    <r>
      <rPr>
        <sz val="10"/>
        <rFont val="WenQuanYi Zen Hei"/>
        <family val="2"/>
      </rPr>
      <t xml:space="preserve">鍵アカでのポスター連投など“仕掛け型”ティザー、プレミア公開、</t>
    </r>
    <r>
      <rPr>
        <sz val="10"/>
        <rFont val="Arial"/>
        <family val="0"/>
        <charset val="1"/>
      </rPr>
      <t xml:space="preserve">TikTok</t>
    </r>
    <r>
      <rPr>
        <sz val="10"/>
        <rFont val="WenQuanYi Zen Hei"/>
        <family val="2"/>
      </rPr>
      <t xml:space="preserve">グローバル施策</t>
    </r>
  </si>
  <si>
    <t xml:space="preserve">大型リリースを数週間かけて盛り上げる設計</t>
  </si>
  <si>
    <r>
      <rPr>
        <sz val="10"/>
        <rFont val="Arial"/>
        <family val="0"/>
        <charset val="1"/>
      </rPr>
      <t xml:space="preserve">EP</t>
    </r>
    <r>
      <rPr>
        <sz val="10"/>
        <rFont val="WenQuanYi Zen Hei"/>
        <family val="2"/>
      </rPr>
      <t xml:space="preserve">『</t>
    </r>
    <r>
      <rPr>
        <sz val="10"/>
        <rFont val="Arial"/>
        <family val="0"/>
        <charset val="1"/>
      </rPr>
      <t xml:space="preserve">SPACE RENDEZVOUS</t>
    </r>
    <r>
      <rPr>
        <sz val="10"/>
        <rFont val="WenQuanYi Zen Hei"/>
        <family val="2"/>
      </rPr>
      <t xml:space="preserve">』のような作品で、収録曲を日替わりで出すカウントダウン型ティザー</t>
    </r>
  </si>
  <si>
    <r>
      <rPr>
        <sz val="10"/>
        <rFont val="Arial"/>
        <family val="0"/>
        <charset val="1"/>
      </rPr>
      <t xml:space="preserve">Instagram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YouTube</t>
    </r>
  </si>
  <si>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は本人非運用（スタッフのみ）。</t>
    </r>
    <r>
      <rPr>
        <sz val="10"/>
        <rFont val="Arial"/>
        <family val="0"/>
        <charset val="1"/>
      </rPr>
      <t xml:space="preserve">Instagram</t>
    </r>
    <r>
      <rPr>
        <sz val="10"/>
        <rFont val="WenQuanYi Zen Hei"/>
        <family val="2"/>
      </rPr>
      <t xml:space="preserve">で世界観のある写真・オフショット</t>
    </r>
  </si>
  <si>
    <t xml:space="preserve">海外ファン比率が高い／ブランド世界観の統一</t>
  </si>
  <si>
    <r>
      <rPr>
        <sz val="10"/>
        <rFont val="Arial"/>
        <family val="0"/>
        <charset val="1"/>
      </rPr>
      <t xml:space="preserve">IG</t>
    </r>
    <r>
      <rPr>
        <sz val="10"/>
        <rFont val="WenQuanYi Zen Hei"/>
        <family val="2"/>
      </rPr>
      <t xml:space="preserve">での世界観統一・海外向け英語キャプション</t>
    </r>
  </si>
  <si>
    <r>
      <rPr>
        <sz val="10"/>
        <rFont val="Arial"/>
        <family val="0"/>
        <charset val="1"/>
      </rPr>
      <t xml:space="preserve">YouTube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Instagram</t>
    </r>
  </si>
  <si>
    <r>
      <rPr>
        <sz val="10"/>
        <rFont val="WenQuanYi Zen Hei"/>
        <family val="2"/>
      </rPr>
      <t xml:space="preserve">アート集団（</t>
    </r>
    <r>
      <rPr>
        <sz val="10"/>
        <rFont val="Arial"/>
        <family val="0"/>
        <charset val="1"/>
      </rPr>
      <t xml:space="preserve">ART Work Studio</t>
    </r>
    <r>
      <rPr>
        <sz val="10"/>
        <rFont val="WenQuanYi Zen Hei"/>
        <family val="2"/>
      </rPr>
      <t xml:space="preserve">）名義での発信を分離。本人発信は控えめ</t>
    </r>
  </si>
  <si>
    <r>
      <rPr>
        <sz val="10"/>
        <rFont val="WenQuanYi Zen Hei"/>
        <family val="2"/>
      </rPr>
      <t xml:space="preserve">作品・ビジュアル重視。ファン</t>
    </r>
    <r>
      <rPr>
        <sz val="10"/>
        <rFont val="Arial"/>
        <family val="0"/>
        <charset val="1"/>
      </rPr>
      <t xml:space="preserve">UGC</t>
    </r>
    <r>
      <rPr>
        <sz val="10"/>
        <rFont val="WenQuanYi Zen Hei"/>
        <family val="2"/>
      </rPr>
      <t xml:space="preserve">が自然発生</t>
    </r>
  </si>
  <si>
    <r>
      <rPr>
        <sz val="10"/>
        <rFont val="WenQuanYi Zen Hei"/>
        <family val="2"/>
      </rPr>
      <t xml:space="preserve">「宇宙船」など</t>
    </r>
    <r>
      <rPr>
        <sz val="10"/>
        <rFont val="Arial"/>
        <family val="0"/>
        <charset val="1"/>
      </rPr>
      <t xml:space="preserve">EP</t>
    </r>
    <r>
      <rPr>
        <sz val="10"/>
        <rFont val="WenQuanYi Zen Hei"/>
        <family val="2"/>
      </rPr>
      <t xml:space="preserve">のコンセプトアートを専用ハイライト／アカウントで発信</t>
    </r>
  </si>
  <si>
    <r>
      <rPr>
        <sz val="10"/>
        <rFont val="Arial"/>
        <family val="0"/>
        <charset val="1"/>
      </rPr>
      <t xml:space="preserve">YouTube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TikTok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Instagram</t>
    </r>
  </si>
  <si>
    <r>
      <rPr>
        <sz val="10"/>
        <rFont val="WenQuanYi Zen Hei"/>
        <family val="2"/>
      </rPr>
      <t xml:space="preserve">歌唱動画（</t>
    </r>
    <r>
      <rPr>
        <sz val="10"/>
        <rFont val="Arial"/>
        <family val="0"/>
        <charset val="1"/>
      </rPr>
      <t xml:space="preserve">THE FIRST TAKE</t>
    </r>
    <r>
      <rPr>
        <sz val="10"/>
        <rFont val="WenQuanYi Zen Hei"/>
        <family val="2"/>
      </rPr>
      <t xml:space="preserve">等）、ユーモアあるツアータイトル</t>
    </r>
  </si>
  <si>
    <t xml:space="preserve">歌声の切り抜きが拡散しやすい</t>
  </si>
  <si>
    <r>
      <rPr>
        <sz val="10"/>
        <rFont val="WenQuanYi Zen Hei"/>
        <family val="2"/>
      </rPr>
      <t xml:space="preserve">弾き語り・歌唱ショートの定期投稿で</t>
    </r>
    <r>
      <rPr>
        <sz val="10"/>
        <rFont val="Arial"/>
        <family val="0"/>
        <charset val="1"/>
      </rPr>
      <t xml:space="preserve">TikTok→YouTube</t>
    </r>
    <r>
      <rPr>
        <sz val="10"/>
        <rFont val="WenQuanYi Zen Hei"/>
        <family val="2"/>
      </rPr>
      <t xml:space="preserve">導線</t>
    </r>
  </si>
  <si>
    <r>
      <rPr>
        <sz val="10"/>
        <rFont val="Arial"/>
        <family val="0"/>
        <charset val="1"/>
      </rPr>
      <t xml:space="preserve">YouTube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TikTok</t>
    </r>
  </si>
  <si>
    <r>
      <rPr>
        <sz val="10"/>
        <rFont val="Arial"/>
        <family val="0"/>
        <charset val="1"/>
      </rPr>
      <t xml:space="preserve">TikTok LIVE</t>
    </r>
    <r>
      <rPr>
        <sz val="10"/>
        <rFont val="WenQuanYi Zen Hei"/>
        <family val="2"/>
      </rPr>
      <t xml:space="preserve">で過去ライブ映像を配信、レーベル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と連携</t>
    </r>
  </si>
  <si>
    <t xml:space="preserve">過去資産の再活用とライブ配信</t>
  </si>
  <si>
    <r>
      <rPr>
        <sz val="10"/>
        <rFont val="WenQuanYi Zen Hei"/>
        <family val="2"/>
      </rPr>
      <t xml:space="preserve">ライブ映像の</t>
    </r>
    <r>
      <rPr>
        <sz val="10"/>
        <rFont val="Arial"/>
        <family val="0"/>
        <charset val="1"/>
      </rPr>
      <t xml:space="preserve">TikTok LIVE</t>
    </r>
    <r>
      <rPr>
        <sz val="10"/>
        <rFont val="WenQuanYi Zen Hei"/>
        <family val="2"/>
      </rPr>
      <t xml:space="preserve">配信／ツアー前のアーカイブ公開</t>
    </r>
  </si>
  <si>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YouTube</t>
    </r>
  </si>
  <si>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で絵文字を多用した読みやすいチケット告知、</t>
    </r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OKKAKE</t>
    </r>
    <r>
      <rPr>
        <sz val="10"/>
        <rFont val="WenQuanYi Zen Hei"/>
        <family val="2"/>
      </rPr>
      <t xml:space="preserve">」でコア層施策</t>
    </r>
  </si>
  <si>
    <t xml:space="preserve">ツアー動員につながる実務的な告知</t>
  </si>
  <si>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告知のフォーマット化、</t>
    </r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限定ライブなどコア層施策</t>
    </r>
  </si>
  <si>
    <r>
      <rPr>
        <b val="true"/>
        <sz val="10"/>
        <rFont val="WenQuanYi Zen Hei"/>
        <family val="2"/>
      </rPr>
      <t xml:space="preserve">【</t>
    </r>
    <r>
      <rPr>
        <b val="true"/>
        <sz val="10"/>
        <rFont val="Arial"/>
        <family val="0"/>
        <charset val="1"/>
      </rPr>
      <t xml:space="preserve">Tani Yuuki </t>
    </r>
    <r>
      <rPr>
        <b val="true"/>
        <sz val="10"/>
        <rFont val="WenQuanYi Zen Hei"/>
        <family val="2"/>
      </rPr>
      <t xml:space="preserve">比較サマリー】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</si>
  <si>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YouTube</t>
    </r>
    <r>
      <rPr>
        <sz val="10"/>
        <rFont val="WenQuanYi Zen Hei"/>
        <family val="2"/>
      </rPr>
      <t xml:space="preserve">（約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万）はマカロニえんぴつ（約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万）と同規模。上位（</t>
    </r>
    <r>
      <rPr>
        <sz val="10"/>
        <rFont val="Arial"/>
        <family val="0"/>
        <charset val="1"/>
      </rPr>
      <t xml:space="preserve">Mrs.674</t>
    </r>
    <r>
      <rPr>
        <sz val="10"/>
        <rFont val="WenQuanYi Zen Hei"/>
        <family val="2"/>
      </rPr>
      <t xml:space="preserve">万／藤井風</t>
    </r>
    <r>
      <rPr>
        <sz val="10"/>
        <rFont val="Arial"/>
        <family val="0"/>
        <charset val="1"/>
      </rPr>
      <t xml:space="preserve">551</t>
    </r>
    <r>
      <rPr>
        <sz val="10"/>
        <rFont val="WenQuanYi Zen Hei"/>
        <family val="2"/>
      </rPr>
      <t xml:space="preserve">万）とは約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倍の差。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</si>
  <si>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TikTok</t>
    </r>
    <r>
      <rPr>
        <sz val="10"/>
        <rFont val="WenQuanYi Zen Hei"/>
        <family val="2"/>
      </rPr>
      <t xml:space="preserve">（約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万）は</t>
    </r>
    <r>
      <rPr>
        <sz val="10"/>
        <rFont val="Arial"/>
        <family val="0"/>
        <charset val="1"/>
      </rPr>
      <t xml:space="preserve">Vaundy</t>
    </r>
    <r>
      <rPr>
        <sz val="10"/>
        <rFont val="WenQuanYi Zen Hei"/>
        <family val="2"/>
      </rPr>
      <t xml:space="preserve">公式（約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万）より多い一方、優里（約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万）・藤井風（約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万）・</t>
    </r>
    <r>
      <rPr>
        <sz val="10"/>
        <rFont val="Arial"/>
        <family val="0"/>
        <charset val="1"/>
      </rPr>
      <t xml:space="preserve">Mrs.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万超）とは</t>
    </r>
    <r>
      <rPr>
        <sz val="10"/>
        <rFont val="Arial"/>
        <family val="0"/>
        <charset val="1"/>
      </rPr>
      <t xml:space="preserve">2.5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倍差。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</si>
  <si>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（約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万）は比較対象の中で最小（</t>
    </r>
    <r>
      <rPr>
        <sz val="10"/>
        <rFont val="Arial"/>
        <family val="0"/>
        <charset val="1"/>
      </rPr>
      <t xml:space="preserve">Vaundy</t>
    </r>
    <r>
      <rPr>
        <sz val="10"/>
        <rFont val="WenQuanYi Zen Hei"/>
        <family val="2"/>
      </rPr>
      <t xml:space="preserve">約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万、マカロニ約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万、優里約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万）。告知チャネルとしての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強化の余地。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</si>
  <si>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Instagram</t>
    </r>
    <r>
      <rPr>
        <sz val="10"/>
        <rFont val="WenQuanYi Zen Hei"/>
        <family val="2"/>
      </rPr>
      <t xml:space="preserve">（約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万・古い値）は比較対象中最小。最新値の再取得を推奨。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</si>
  <si>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10/14 EP</t>
    </r>
    <r>
      <rPr>
        <sz val="10"/>
        <rFont val="WenQuanYi Zen Hei"/>
        <family val="2"/>
      </rPr>
      <t xml:space="preserve">『</t>
    </r>
    <r>
      <rPr>
        <sz val="10"/>
        <rFont val="Arial"/>
        <family val="0"/>
        <charset val="1"/>
      </rPr>
      <t xml:space="preserve">SPACE RENDEZVOUS</t>
    </r>
    <r>
      <rPr>
        <sz val="10"/>
        <rFont val="WenQuanYi Zen Hei"/>
        <family val="2"/>
      </rPr>
      <t xml:space="preserve">』〜</t>
    </r>
    <r>
      <rPr>
        <sz val="10"/>
        <rFont val="Arial"/>
        <family val="0"/>
        <charset val="1"/>
      </rPr>
      <t xml:space="preserve">Live Tour 26-27</t>
    </r>
    <r>
      <rPr>
        <sz val="10"/>
        <rFont val="WenQuanYi Zen Hei"/>
        <family val="2"/>
      </rPr>
      <t xml:space="preserve">が</t>
    </r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強化の好機（ティザー設計・ツアー告知フォーマット化）。</t>
    </r>
  </si>
  <si>
    <t xml:space="preserve">出典・注意事項</t>
  </si>
  <si>
    <t xml:space="preserve">#</t>
  </si>
  <si>
    <t xml:space="preserve">出典</t>
  </si>
  <si>
    <t xml:space="preserve">URL</t>
  </si>
  <si>
    <r>
      <rPr>
        <sz val="10"/>
        <rFont val="Arial"/>
        <family val="0"/>
        <charset val="1"/>
      </rPr>
      <t xml:space="preserve">ranking.net </t>
    </r>
    <r>
      <rPr>
        <sz val="10"/>
        <rFont val="WenQuanYi Zen Hei"/>
        <family val="2"/>
      </rPr>
      <t xml:space="preserve">バンド</t>
    </r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ランキング（</t>
    </r>
    <r>
      <rPr>
        <sz val="10"/>
        <rFont val="Arial"/>
        <family val="0"/>
        <charset val="1"/>
      </rPr>
      <t xml:space="preserve">Mrs. X/IG</t>
    </r>
    <r>
      <rPr>
        <sz val="10"/>
        <rFont val="WenQuanYi Zen Hei"/>
        <family val="2"/>
      </rPr>
      <t xml:space="preserve">）</t>
    </r>
  </si>
  <si>
    <t xml:space="preserve">https://ranking.net/twitter-follower-ranking/band</t>
  </si>
  <si>
    <r>
      <rPr>
        <sz val="10"/>
        <rFont val="Arial"/>
        <family val="0"/>
        <charset val="1"/>
      </rPr>
      <t xml:space="preserve">ranking.net </t>
    </r>
    <r>
      <rPr>
        <sz val="10"/>
        <rFont val="WenQuanYi Zen Hei"/>
        <family val="2"/>
      </rPr>
      <t xml:space="preserve">バンド</t>
    </r>
    <r>
      <rPr>
        <sz val="10"/>
        <rFont val="Arial"/>
        <family val="0"/>
        <charset val="1"/>
      </rPr>
      <t xml:space="preserve">Instagram</t>
    </r>
    <r>
      <rPr>
        <sz val="10"/>
        <rFont val="WenQuanYi Zen Hei"/>
        <family val="2"/>
      </rPr>
      <t xml:space="preserve">ランキング</t>
    </r>
  </si>
  <si>
    <t xml:space="preserve">https://ranking.net/instagram-follower-ranking/band</t>
  </si>
  <si>
    <r>
      <rPr>
        <sz val="10"/>
        <rFont val="Arial"/>
        <family val="0"/>
        <charset val="1"/>
      </rPr>
      <t xml:space="preserve">yutura.net Mrs. GREEN APPLE </t>
    </r>
    <r>
      <rPr>
        <sz val="10"/>
        <rFont val="WenQuanYi Zen Hei"/>
        <family val="2"/>
      </rPr>
      <t xml:space="preserve">登録者推移</t>
    </r>
  </si>
  <si>
    <t xml:space="preserve">https://yutura.net/channel/33319/chart/</t>
  </si>
  <si>
    <r>
      <rPr>
        <sz val="10"/>
        <rFont val="Arial"/>
        <family val="0"/>
        <charset val="1"/>
      </rPr>
      <t xml:space="preserve">THE FIRST TIMES Mrs. TikTok100</t>
    </r>
    <r>
      <rPr>
        <sz val="10"/>
        <rFont val="WenQuanYi Zen Hei"/>
        <family val="2"/>
      </rPr>
      <t xml:space="preserve">万突破</t>
    </r>
  </si>
  <si>
    <t xml:space="preserve">https://www.thefirsttimes.jp/news/0000497518/</t>
  </si>
  <si>
    <r>
      <rPr>
        <sz val="10"/>
        <rFont val="Arial"/>
        <family val="0"/>
        <charset val="1"/>
      </rPr>
      <t xml:space="preserve">Skream! Mrs.</t>
    </r>
    <r>
      <rPr>
        <sz val="10"/>
        <rFont val="WenQuanYi Zen Hei"/>
        <family val="2"/>
      </rPr>
      <t xml:space="preserve">「共犯」</t>
    </r>
    <r>
      <rPr>
        <sz val="10"/>
        <rFont val="Arial"/>
        <family val="0"/>
        <charset val="1"/>
      </rPr>
      <t xml:space="preserve">MV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POPS</t>
    </r>
  </si>
  <si>
    <t xml:space="preserve">https://skream.jp/news/2026/10/mrs_green_apple_kyohan_mv.php</t>
  </si>
  <si>
    <r>
      <rPr>
        <sz val="10"/>
        <rFont val="Arial"/>
        <family val="0"/>
        <charset val="1"/>
      </rPr>
      <t xml:space="preserve">Yahoo!</t>
    </r>
    <r>
      <rPr>
        <sz val="10"/>
        <rFont val="WenQuanYi Zen Hei"/>
        <family val="2"/>
      </rPr>
      <t xml:space="preserve">リアルタイム </t>
    </r>
    <r>
      <rPr>
        <sz val="10"/>
        <rFont val="Arial"/>
        <family val="0"/>
        <charset val="1"/>
      </rPr>
      <t xml:space="preserve">Mrs.</t>
    </r>
    <r>
      <rPr>
        <sz val="10"/>
        <rFont val="WenQuanYi Zen Hei"/>
        <family val="2"/>
      </rPr>
      <t xml:space="preserve">「共犯」告知</t>
    </r>
  </si>
  <si>
    <t xml:space="preserve">https://search.yahoo.co.jp/realtime/search/matome/post/002-648f3ab846dbbcd695ebbb2f</t>
  </si>
  <si>
    <r>
      <rPr>
        <sz val="10"/>
        <rFont val="Arial"/>
        <family val="0"/>
        <charset val="1"/>
      </rPr>
      <t xml:space="preserve">newscafe Mrs. Spotify</t>
    </r>
    <r>
      <rPr>
        <sz val="10"/>
        <rFont val="WenQuanYi Zen Hei"/>
        <family val="2"/>
      </rPr>
      <t xml:space="preserve">公開収録</t>
    </r>
  </si>
  <si>
    <t xml:space="preserve">https://www.newscafe.ne.jp/article/2026/10/05/3033224.html</t>
  </si>
  <si>
    <r>
      <rPr>
        <sz val="10"/>
        <rFont val="Arial"/>
        <family val="0"/>
        <charset val="1"/>
      </rPr>
      <t xml:space="preserve">THE FIRST TIMES #</t>
    </r>
    <r>
      <rPr>
        <sz val="10"/>
        <rFont val="WenQuanYi Zen Hei"/>
        <family val="2"/>
      </rPr>
      <t xml:space="preserve">青りんごの日</t>
    </r>
  </si>
  <si>
    <t xml:space="preserve">https://www.thefirsttimes.jp/?p=814246</t>
  </si>
  <si>
    <r>
      <rPr>
        <sz val="10"/>
        <rFont val="Arial"/>
        <family val="0"/>
        <charset val="1"/>
      </rPr>
      <t xml:space="preserve">HypeAuditor </t>
    </r>
    <r>
      <rPr>
        <sz val="10"/>
        <rFont val="WenQuanYi Zen Hei"/>
        <family val="2"/>
      </rPr>
      <t xml:space="preserve">藤井風 </t>
    </r>
    <r>
      <rPr>
        <sz val="10"/>
        <rFont val="Arial"/>
        <family val="0"/>
        <charset val="1"/>
      </rPr>
      <t xml:space="preserve">Instagram</t>
    </r>
  </si>
  <si>
    <t xml:space="preserve">https://hypeauditor.com/instagram/fujiikaze/</t>
  </si>
  <si>
    <r>
      <rPr>
        <sz val="10"/>
        <rFont val="Arial"/>
        <family val="0"/>
        <charset val="1"/>
      </rPr>
      <t xml:space="preserve">Chartmetric </t>
    </r>
    <r>
      <rPr>
        <sz val="10"/>
        <rFont val="WenQuanYi Zen Hei"/>
        <family val="2"/>
      </rPr>
      <t xml:space="preserve">藤井風</t>
    </r>
  </si>
  <si>
    <t xml:space="preserve">https://chartmetric.com/artist/3416450</t>
  </si>
  <si>
    <r>
      <rPr>
        <sz val="10"/>
        <rFont val="Arial"/>
        <family val="0"/>
        <charset val="1"/>
      </rPr>
      <t xml:space="preserve">Wikipedia </t>
    </r>
    <r>
      <rPr>
        <sz val="10"/>
        <rFont val="WenQuanYi Zen Hei"/>
        <family val="2"/>
      </rPr>
      <t xml:space="preserve">藤井風</t>
    </r>
  </si>
  <si>
    <t xml:space="preserve">https://ja.wikipedia.org/wiki/%E8%97%A4%E4%BA%95%E9%A2%A8</t>
  </si>
  <si>
    <r>
      <rPr>
        <sz val="10"/>
        <rFont val="Arial"/>
        <family val="0"/>
        <charset val="1"/>
      </rPr>
      <t xml:space="preserve">THE FIRST TIMES </t>
    </r>
    <r>
      <rPr>
        <sz val="10"/>
        <rFont val="WenQuanYi Zen Hei"/>
        <family val="2"/>
      </rPr>
      <t xml:space="preserve">藤井風 上海プライベートショット</t>
    </r>
  </si>
  <si>
    <t xml:space="preserve">https://www.thefirsttimes.jp/news/0000525596/attachment-sns/</t>
  </si>
  <si>
    <r>
      <rPr>
        <sz val="10"/>
        <rFont val="WenQuanYi Zen Hei"/>
        <family val="2"/>
      </rPr>
      <t xml:space="preserve">モデルプレス 藤井風 </t>
    </r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切り抜き言及</t>
    </r>
  </si>
  <si>
    <t xml:space="preserve">https://mdpr.jp/news/detail/3239992</t>
  </si>
  <si>
    <r>
      <rPr>
        <sz val="10"/>
        <rFont val="Arial"/>
        <family val="0"/>
        <charset val="1"/>
      </rPr>
      <t xml:space="preserve">bezzy </t>
    </r>
    <r>
      <rPr>
        <sz val="10"/>
        <rFont val="WenQuanYi Zen Hei"/>
        <family val="2"/>
      </rPr>
      <t xml:space="preserve">藤井風 </t>
    </r>
    <r>
      <rPr>
        <sz val="10"/>
        <rFont val="Arial"/>
        <family val="0"/>
        <charset val="1"/>
      </rPr>
      <t xml:space="preserve">Prema World Tour</t>
    </r>
  </si>
  <si>
    <t xml:space="preserve">https://bezzy.jp/2026/04/84949/</t>
  </si>
  <si>
    <t xml:space="preserve">Chartmetric Vaundy</t>
  </si>
  <si>
    <t xml:space="preserve">https://chartmetric.com/artist/3433193</t>
  </si>
  <si>
    <t xml:space="preserve">TikTok Vaundy Official</t>
  </si>
  <si>
    <t xml:space="preserve">https://www.tiktok.com/@vaundy_artworkstudio</t>
  </si>
  <si>
    <r>
      <rPr>
        <sz val="10"/>
        <rFont val="Arial"/>
        <family val="0"/>
        <charset val="1"/>
      </rPr>
      <t xml:space="preserve">Real Sound Vaundy</t>
    </r>
    <r>
      <rPr>
        <sz val="10"/>
        <rFont val="WenQuanYi Zen Hei"/>
        <family val="2"/>
      </rPr>
      <t xml:space="preserve">ドームツアー完走</t>
    </r>
  </si>
  <si>
    <t xml:space="preserve">https://realsound.jp/2026/04/post-2358816.html</t>
  </si>
  <si>
    <r>
      <rPr>
        <sz val="10"/>
        <rFont val="Arial"/>
        <family val="0"/>
        <charset val="1"/>
      </rPr>
      <t xml:space="preserve">Chartmetric </t>
    </r>
    <r>
      <rPr>
        <sz val="10"/>
        <rFont val="WenQuanYi Zen Hei"/>
        <family val="2"/>
      </rPr>
      <t xml:space="preserve">優里</t>
    </r>
  </si>
  <si>
    <t xml:space="preserve">https://chartmetric.com/artist/3634529</t>
  </si>
  <si>
    <r>
      <rPr>
        <sz val="10"/>
        <rFont val="WenQuanYi Zen Hei"/>
        <family val="2"/>
      </rPr>
      <t xml:space="preserve">優里 </t>
    </r>
    <r>
      <rPr>
        <sz val="10"/>
        <rFont val="Arial"/>
        <family val="0"/>
        <charset val="1"/>
      </rPr>
      <t xml:space="preserve">Official Website</t>
    </r>
  </si>
  <si>
    <t xml:space="preserve">https://www.yuuriweb.com/</t>
  </si>
  <si>
    <t xml:space="preserve">富士急トラベル 優里</t>
  </si>
  <si>
    <t xml:space="preserve">https://www.fujikyu-travel.co.jp/free2/special/yuuri.html</t>
  </si>
  <si>
    <r>
      <rPr>
        <sz val="10"/>
        <rFont val="Arial"/>
        <family val="0"/>
        <charset val="1"/>
      </rPr>
      <t xml:space="preserve">Wikipedia </t>
    </r>
    <r>
      <rPr>
        <sz val="10"/>
        <rFont val="WenQuanYi Zen Hei"/>
        <family val="2"/>
      </rPr>
      <t xml:space="preserve">あいみょん</t>
    </r>
  </si>
  <si>
    <t xml:space="preserve">https://ja.wikipedia.org/wiki/%E3%81%82%E3%81%84%E3%81%BF%E3%82%87%E3%82%93</t>
  </si>
  <si>
    <r>
      <rPr>
        <sz val="10"/>
        <rFont val="Arial"/>
        <family val="0"/>
        <charset val="1"/>
      </rPr>
      <t xml:space="preserve">ORICON </t>
    </r>
    <r>
      <rPr>
        <sz val="10"/>
        <rFont val="WenQuanYi Zen Hei"/>
        <family val="2"/>
      </rPr>
      <t xml:space="preserve">あいみょん武道館</t>
    </r>
  </si>
  <si>
    <t xml:space="preserve">https://www.oricon.co.jp/news/2468154/full/</t>
  </si>
  <si>
    <r>
      <rPr>
        <sz val="10"/>
        <rFont val="Arial"/>
        <family val="0"/>
        <charset val="1"/>
      </rPr>
      <t xml:space="preserve">unBORDE X TikTok LIVE</t>
    </r>
    <r>
      <rPr>
        <sz val="10"/>
        <rFont val="WenQuanYi Zen Hei"/>
        <family val="2"/>
      </rPr>
      <t xml:space="preserve">告知</t>
    </r>
  </si>
  <si>
    <t xml:space="preserve">https://x.com/unborde/status/2083391412977246467</t>
  </si>
  <si>
    <r>
      <rPr>
        <sz val="10"/>
        <rFont val="WenQuanYi Zen Hei"/>
        <family val="2"/>
      </rPr>
      <t xml:space="preserve">マカロニえんぴつ 公式</t>
    </r>
    <r>
      <rPr>
        <sz val="10"/>
        <rFont val="Arial"/>
        <family val="0"/>
        <charset val="1"/>
      </rPr>
      <t xml:space="preserve">X</t>
    </r>
  </si>
  <si>
    <t xml:space="preserve">https://x.com/macarock0616?lang=ja</t>
  </si>
  <si>
    <r>
      <rPr>
        <sz val="10"/>
        <rFont val="WenQuanYi Zen Hei"/>
        <family val="2"/>
      </rPr>
      <t xml:space="preserve">マカロニえんぴつ </t>
    </r>
    <r>
      <rPr>
        <sz val="10"/>
        <rFont val="Arial"/>
        <family val="0"/>
        <charset val="1"/>
      </rPr>
      <t xml:space="preserve">NEWS</t>
    </r>
  </si>
  <si>
    <t xml:space="preserve">https://macaroniempitsu.com/news</t>
  </si>
  <si>
    <t xml:space="preserve">音楽ナタリー マカロニ アリーナツアー</t>
  </si>
  <si>
    <t xml:space="preserve">https://natalie.mu/music/news/666191</t>
  </si>
  <si>
    <r>
      <rPr>
        <sz val="10"/>
        <rFont val="Arial"/>
        <family val="0"/>
        <charset val="1"/>
      </rPr>
      <t xml:space="preserve">yutura.net </t>
    </r>
    <r>
      <rPr>
        <sz val="10"/>
        <rFont val="WenQuanYi Zen Hei"/>
        <family val="2"/>
      </rPr>
      <t xml:space="preserve">公式マカロニえんぴつ</t>
    </r>
  </si>
  <si>
    <t xml:space="preserve">https://yutura.net/channel/35145/</t>
  </si>
  <si>
    <r>
      <rPr>
        <sz val="10"/>
        <rFont val="Arial"/>
        <family val="0"/>
        <charset val="1"/>
      </rPr>
      <t xml:space="preserve">Tani Yuuki </t>
    </r>
    <r>
      <rPr>
        <sz val="10"/>
        <rFont val="WenQuanYi Zen Hei"/>
        <family val="2"/>
      </rPr>
      <t xml:space="preserve">オフィシャルサイト</t>
    </r>
  </si>
  <si>
    <t xml:space="preserve">https://taniyuuki.com/</t>
  </si>
  <si>
    <t xml:space="preserve">Tani Yuuki TikTok</t>
  </si>
  <si>
    <t xml:space="preserve">https://www.tiktok.com/@yu___09___11</t>
  </si>
  <si>
    <t xml:space="preserve">Tani Yuuki X</t>
  </si>
  <si>
    <t xml:space="preserve">https://x.com/yu___09___11</t>
  </si>
  <si>
    <t xml:space="preserve">Tani Yuuki Instagram</t>
  </si>
  <si>
    <t xml:space="preserve">https://www.instagram.com/u_yuuki_u/</t>
  </si>
  <si>
    <t xml:space="preserve">yutura.net Tani Yuuki</t>
  </si>
  <si>
    <t xml:space="preserve">https://yutura.net/channel/52555/</t>
  </si>
  <si>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エイリアンズ </t>
    </r>
    <r>
      <rPr>
        <sz val="10"/>
        <rFont val="Arial"/>
        <family val="0"/>
        <charset val="1"/>
      </rPr>
      <t xml:space="preserve">MV</t>
    </r>
  </si>
  <si>
    <t xml:space="preserve">https://www.youtube.com/watch?v=tJdDGAIoXL0</t>
  </si>
  <si>
    <r>
      <rPr>
        <sz val="10"/>
        <rFont val="WenQuanYi Zen Hei"/>
        <family val="2"/>
      </rPr>
      <t xml:space="preserve">ぴあ関西 </t>
    </r>
    <r>
      <rPr>
        <sz val="10"/>
        <rFont val="Arial"/>
        <family val="0"/>
        <charset val="1"/>
      </rPr>
      <t xml:space="preserve">Tani Yuuki</t>
    </r>
    <r>
      <rPr>
        <sz val="10"/>
        <rFont val="WenQuanYi Zen Hei"/>
        <family val="2"/>
      </rPr>
      <t xml:space="preserve">インタビュー</t>
    </r>
  </si>
  <si>
    <t xml:space="preserve">https://kansai.pia.co.jp/interview/music/2026-08/tani-yuuki.html</t>
  </si>
  <si>
    <r>
      <rPr>
        <sz val="10"/>
        <rFont val="Arial"/>
        <family val="0"/>
        <charset val="1"/>
      </rPr>
      <t xml:space="preserve">Tani Yuuki LINE</t>
    </r>
    <r>
      <rPr>
        <sz val="10"/>
        <rFont val="WenQuanYi Zen Hei"/>
        <family val="2"/>
      </rPr>
      <t xml:space="preserve">公式</t>
    </r>
  </si>
  <si>
    <t xml:space="preserve">https://page.line.me/391hyqzj</t>
  </si>
  <si>
    <t xml:space="preserve">【注意事項】</t>
  </si>
  <si>
    <r>
      <rPr>
        <sz val="10"/>
        <rFont val="WenQuanYi Zen Hei"/>
        <family val="2"/>
      </rPr>
      <t xml:space="preserve">・調査環境の制約により各</t>
    </r>
    <r>
      <rPr>
        <sz val="10"/>
        <rFont val="Arial"/>
        <family val="0"/>
        <charset val="1"/>
      </rPr>
      <t xml:space="preserve">SNS</t>
    </r>
    <r>
      <rPr>
        <sz val="10"/>
        <rFont val="WenQuanYi Zen Hei"/>
        <family val="2"/>
      </rPr>
      <t xml:space="preserve">へ直接ログイン・閲覧はしておらず、</t>
    </r>
    <r>
      <rPr>
        <sz val="10"/>
        <rFont val="Arial"/>
        <family val="0"/>
        <charset val="1"/>
      </rPr>
      <t xml:space="preserve">Web</t>
    </r>
    <r>
      <rPr>
        <sz val="10"/>
        <rFont val="WenQuanYi Zen Hei"/>
        <family val="2"/>
      </rPr>
      <t xml:space="preserve">検索で得られた公開情報（集計サイト・プロフィール表示・報道）に基づく。</t>
    </r>
  </si>
  <si>
    <r>
      <rPr>
        <sz val="10"/>
        <rFont val="WenQuanYi Zen Hei"/>
        <family val="2"/>
      </rPr>
      <t xml:space="preserve">・フォロワー数は取得時点が異なる（</t>
    </r>
    <r>
      <rPr>
        <sz val="10"/>
        <rFont val="Arial"/>
        <family val="0"/>
        <charset val="1"/>
      </rPr>
      <t xml:space="preserve">2024</t>
    </r>
    <r>
      <rPr>
        <sz val="10"/>
        <rFont val="WenQuanYi Zen Hei"/>
        <family val="2"/>
      </rPr>
      <t xml:space="preserve">年〜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月）。特に</t>
    </r>
    <r>
      <rPr>
        <sz val="10"/>
        <rFont val="Arial"/>
        <family val="0"/>
        <charset val="1"/>
      </rPr>
      <t xml:space="preserve">Tani Yuuki Instagram</t>
    </r>
    <r>
      <rPr>
        <sz val="10"/>
        <rFont val="WenQuanYi Zen Hei"/>
        <family val="2"/>
      </rPr>
      <t xml:space="preserve">、マカロニえんぴつ</t>
    </r>
    <r>
      <rPr>
        <sz val="10"/>
        <rFont val="Arial"/>
        <family val="0"/>
        <charset val="1"/>
      </rPr>
      <t xml:space="preserve">Instagram</t>
    </r>
    <r>
      <rPr>
        <sz val="10"/>
        <rFont val="WenQuanYi Zen Hei"/>
        <family val="2"/>
      </rPr>
      <t xml:space="preserve">は古い値の可能性。</t>
    </r>
  </si>
  <si>
    <r>
      <rPr>
        <sz val="10"/>
        <rFont val="WenQuanYi Zen Hei"/>
        <family val="2"/>
      </rPr>
      <t xml:space="preserve">・あいみょんの</t>
    </r>
    <r>
      <rPr>
        <sz val="10"/>
        <rFont val="Arial"/>
        <family val="0"/>
        <charset val="1"/>
      </rPr>
      <t xml:space="preserve">Instagram/X/TikTok</t>
    </r>
    <r>
      <rPr>
        <sz val="10"/>
        <rFont val="WenQuanYi Zen Hei"/>
        <family val="2"/>
      </rPr>
      <t xml:space="preserve">、藤井風（スタッフ）</t>
    </r>
    <r>
      <rPr>
        <sz val="10"/>
        <rFont val="Arial"/>
        <family val="0"/>
        <charset val="1"/>
      </rPr>
      <t xml:space="preserve">X</t>
    </r>
    <r>
      <rPr>
        <sz val="10"/>
        <rFont val="WenQuanYi Zen Hei"/>
        <family val="2"/>
      </rPr>
      <t xml:space="preserve">、マカロニえんぴつ</t>
    </r>
    <r>
      <rPr>
        <sz val="10"/>
        <rFont val="Arial"/>
        <family val="0"/>
        <charset val="1"/>
      </rPr>
      <t xml:space="preserve">TikTok</t>
    </r>
    <r>
      <rPr>
        <sz val="10"/>
        <rFont val="WenQuanYi Zen Hei"/>
        <family val="2"/>
      </rPr>
      <t xml:space="preserve">は数値未取得。</t>
    </r>
  </si>
  <si>
    <r>
      <rPr>
        <sz val="10"/>
        <rFont val="WenQuanYi Zen Hei"/>
        <family val="2"/>
      </rPr>
      <t xml:space="preserve">・「ブログ」は全アーティストで公式ブログを確認できず（</t>
    </r>
    <r>
      <rPr>
        <sz val="10"/>
        <rFont val="Arial"/>
        <family val="0"/>
        <charset val="1"/>
      </rPr>
      <t xml:space="preserve">FC</t>
    </r>
    <r>
      <rPr>
        <sz val="10"/>
        <rFont val="WenQuanYi Zen Hei"/>
        <family val="2"/>
      </rPr>
      <t xml:space="preserve">サイト内のコンテンツは会員限定のため対象外）。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</si>
</sst>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ranking.net/twitter-follower-ranking/band" TargetMode="External"/><Relationship Id="rId2" Type="http://schemas.openxmlformats.org/officeDocument/2006/relationships/hyperlink" Target="https://ranking.net/instagram-follower-ranking/band" TargetMode="External"/><Relationship Id="rId3" Type="http://schemas.openxmlformats.org/officeDocument/2006/relationships/hyperlink" Target="https://yutura.net/channel/33319/chart/" TargetMode="External"/><Relationship Id="rId4" Type="http://schemas.openxmlformats.org/officeDocument/2006/relationships/hyperlink" Target="https://www.thefirsttimes.jp/news/0000497518/" TargetMode="External"/><Relationship Id="rId5" Type="http://schemas.openxmlformats.org/officeDocument/2006/relationships/hyperlink" Target="https://skream.jp/news/2026/10/mrs_green_apple_kyohan_mv.php" TargetMode="External"/><Relationship Id="rId6" Type="http://schemas.openxmlformats.org/officeDocument/2006/relationships/hyperlink" Target="https://search.yahoo.co.jp/realtime/search/matome/post/002-648f3ab846dbbcd695ebbb2f" TargetMode="External"/><Relationship Id="rId7" Type="http://schemas.openxmlformats.org/officeDocument/2006/relationships/hyperlink" Target="https://www.newscafe.ne.jp/article/2026/10/05/3033224.html" TargetMode="External"/><Relationship Id="rId8" Type="http://schemas.openxmlformats.org/officeDocument/2006/relationships/hyperlink" Target="https://www.thefirsttimes.jp/?p=814246" TargetMode="External"/><Relationship Id="rId9" Type="http://schemas.openxmlformats.org/officeDocument/2006/relationships/hyperlink" Target="https://hypeauditor.com/instagram/fujiikaze/" TargetMode="External"/><Relationship Id="rId10" Type="http://schemas.openxmlformats.org/officeDocument/2006/relationships/hyperlink" Target="https://chartmetric.com/artist/3416450" TargetMode="External"/><Relationship Id="rId11" Type="http://schemas.openxmlformats.org/officeDocument/2006/relationships/hyperlink" Target="https://ja.wikipedia.org/wiki/&#34276;&#20117;&#39080;" TargetMode="External"/><Relationship Id="rId12" Type="http://schemas.openxmlformats.org/officeDocument/2006/relationships/hyperlink" Target="https://www.thefirsttimes.jp/news/0000525596/attachment-sns/" TargetMode="External"/><Relationship Id="rId13" Type="http://schemas.openxmlformats.org/officeDocument/2006/relationships/hyperlink" Target="https://mdpr.jp/news/detail/3239992" TargetMode="External"/><Relationship Id="rId14" Type="http://schemas.openxmlformats.org/officeDocument/2006/relationships/hyperlink" Target="https://bezzy.jp/2026/04/84949/" TargetMode="External"/><Relationship Id="rId15" Type="http://schemas.openxmlformats.org/officeDocument/2006/relationships/hyperlink" Target="https://chartmetric.com/artist/3433193" TargetMode="External"/><Relationship Id="rId16" Type="http://schemas.openxmlformats.org/officeDocument/2006/relationships/hyperlink" Target="https://www.tiktok.com/@vaundy_artworkstudio" TargetMode="External"/><Relationship Id="rId17" Type="http://schemas.openxmlformats.org/officeDocument/2006/relationships/hyperlink" Target="https://realsound.jp/2026/04/post-2358816.html" TargetMode="External"/><Relationship Id="rId18" Type="http://schemas.openxmlformats.org/officeDocument/2006/relationships/hyperlink" Target="https://chartmetric.com/artist/3634529" TargetMode="External"/><Relationship Id="rId19" Type="http://schemas.openxmlformats.org/officeDocument/2006/relationships/hyperlink" Target="https://www.yuuriweb.com/" TargetMode="External"/><Relationship Id="rId20" Type="http://schemas.openxmlformats.org/officeDocument/2006/relationships/hyperlink" Target="https://www.fujikyu-travel.co.jp/free2/special/yuuri.html" TargetMode="External"/><Relationship Id="rId21" Type="http://schemas.openxmlformats.org/officeDocument/2006/relationships/hyperlink" Target="https://ja.wikipedia.org/wiki/&#12354;&#12356;&#12415;&#12423;&#12435;" TargetMode="External"/><Relationship Id="rId22" Type="http://schemas.openxmlformats.org/officeDocument/2006/relationships/hyperlink" Target="https://www.oricon.co.jp/news/2468154/full/" TargetMode="External"/><Relationship Id="rId23" Type="http://schemas.openxmlformats.org/officeDocument/2006/relationships/hyperlink" Target="https://x.com/unborde/status/2083391412977246467" TargetMode="External"/><Relationship Id="rId24" Type="http://schemas.openxmlformats.org/officeDocument/2006/relationships/hyperlink" Target="https://x.com/macarock0616?lang=ja" TargetMode="External"/><Relationship Id="rId25" Type="http://schemas.openxmlformats.org/officeDocument/2006/relationships/hyperlink" Target="https://macaroniempitsu.com/news" TargetMode="External"/><Relationship Id="rId26" Type="http://schemas.openxmlformats.org/officeDocument/2006/relationships/hyperlink" Target="https://natalie.mu/music/news/666191" TargetMode="External"/><Relationship Id="rId27" Type="http://schemas.openxmlformats.org/officeDocument/2006/relationships/hyperlink" Target="https://yutura.net/channel/35145/" TargetMode="External"/><Relationship Id="rId28" Type="http://schemas.openxmlformats.org/officeDocument/2006/relationships/hyperlink" Target="https://taniyuuki.com/" TargetMode="External"/><Relationship Id="rId29" Type="http://schemas.openxmlformats.org/officeDocument/2006/relationships/hyperlink" Target="https://www.tiktok.com/@yu___09___11" TargetMode="External"/><Relationship Id="rId30" Type="http://schemas.openxmlformats.org/officeDocument/2006/relationships/hyperlink" Target="https://x.com/yu___09___11" TargetMode="External"/><Relationship Id="rId31" Type="http://schemas.openxmlformats.org/officeDocument/2006/relationships/hyperlink" Target="https://www.instagram.com/u_yuuki_u/" TargetMode="External"/><Relationship Id="rId32" Type="http://schemas.openxmlformats.org/officeDocument/2006/relationships/hyperlink" Target="https://yutura.net/channel/52555/" TargetMode="External"/><Relationship Id="rId33" Type="http://schemas.openxmlformats.org/officeDocument/2006/relationships/hyperlink" Target="https://www.youtube.com/watch?v=tJdDGAIoXL0" TargetMode="External"/><Relationship Id="rId34" Type="http://schemas.openxmlformats.org/officeDocument/2006/relationships/hyperlink" Target="https://kansai.pia.co.jp/interview/music/2026-08/tani-yuuki.html" TargetMode="External"/><Relationship Id="rId35" Type="http://schemas.openxmlformats.org/officeDocument/2006/relationships/hyperlink" Target="https://page.line.me/391hyqzj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12" min="8" style="0" width="11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3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3" t="s">
        <v>13</v>
      </c>
    </row>
    <row r="5" customFormat="false" ht="15" hidden="false" customHeight="false" outlineLevel="0" collapsed="false">
      <c r="A5" s="5" t="s">
        <v>14</v>
      </c>
      <c r="B5" s="6" t="n">
        <v>201000</v>
      </c>
      <c r="C5" s="6" t="n">
        <v>59700</v>
      </c>
      <c r="D5" s="6" t="n">
        <v>319400</v>
      </c>
      <c r="E5" s="6" t="n">
        <v>630000</v>
      </c>
      <c r="F5" s="7" t="n">
        <f aca="false">SUM(B5:E5)</f>
        <v>1210100</v>
      </c>
      <c r="G5" s="8" t="n">
        <f aca="false">COUNT(B5:E5)</f>
        <v>4</v>
      </c>
      <c r="H5" s="9" t="n">
        <f aca="false">IF(AND(ISNUMBER(B5),ISNUMBER(B$5)),B5/B$5,"-")</f>
        <v>1</v>
      </c>
      <c r="I5" s="9" t="n">
        <f aca="false">IF(AND(ISNUMBER(C5),ISNUMBER(C$5)),C5/C$5,"-")</f>
        <v>1</v>
      </c>
      <c r="J5" s="9" t="n">
        <f aca="false">IF(AND(ISNUMBER(D5),ISNUMBER(D$5)),D5/D$5,"-")</f>
        <v>1</v>
      </c>
      <c r="K5" s="9" t="n">
        <f aca="false">IF(AND(ISNUMBER(E5),ISNUMBER(E$5)),E5/E$5,"-")</f>
        <v>1</v>
      </c>
      <c r="L5" s="9" t="n">
        <f aca="false">IF(AND(ISNUMBER(F5),ISNUMBER(F$5)),F5/F$5,"-")</f>
        <v>1</v>
      </c>
    </row>
    <row r="6" customFormat="false" ht="15" hidden="false" customHeight="false" outlineLevel="0" collapsed="false">
      <c r="A6" s="10" t="s">
        <v>15</v>
      </c>
      <c r="B6" s="11" t="n">
        <v>2108231</v>
      </c>
      <c r="C6" s="11" t="n">
        <v>1367707</v>
      </c>
      <c r="D6" s="11" t="n">
        <v>1000000</v>
      </c>
      <c r="E6" s="11" t="n">
        <v>6740000</v>
      </c>
      <c r="F6" s="12" t="n">
        <f aca="false">SUM(B6:E6)</f>
        <v>11215938</v>
      </c>
      <c r="G6" s="13" t="n">
        <f aca="false">COUNT(B6:E6)</f>
        <v>4</v>
      </c>
      <c r="H6" s="14" t="n">
        <f aca="false">IF(AND(ISNUMBER(B6),ISNUMBER(B$5)),B6/B$5,"-")</f>
        <v>10.4887114427861</v>
      </c>
      <c r="I6" s="14" t="n">
        <f aca="false">IF(AND(ISNUMBER(C6),ISNUMBER(C$5)),C6/C$5,"-")</f>
        <v>22.9096649916248</v>
      </c>
      <c r="J6" s="14" t="n">
        <f aca="false">IF(AND(ISNUMBER(D6),ISNUMBER(D$5)),D6/D$5,"-")</f>
        <v>3.13087038196619</v>
      </c>
      <c r="K6" s="14" t="n">
        <f aca="false">IF(AND(ISNUMBER(E6),ISNUMBER(E$5)),E6/E$5,"-")</f>
        <v>10.6984126984127</v>
      </c>
      <c r="L6" s="14" t="n">
        <f aca="false">IF(AND(ISNUMBER(F6),ISNUMBER(F$5)),F6/F$5,"-")</f>
        <v>9.26860424758285</v>
      </c>
    </row>
    <row r="7" customFormat="false" ht="15" hidden="false" customHeight="false" outlineLevel="0" collapsed="false">
      <c r="A7" s="15" t="s">
        <v>16</v>
      </c>
      <c r="B7" s="11" t="n">
        <v>3376751</v>
      </c>
      <c r="C7" s="11"/>
      <c r="D7" s="11" t="n">
        <v>1200000</v>
      </c>
      <c r="E7" s="11" t="n">
        <v>5510000</v>
      </c>
      <c r="F7" s="12" t="n">
        <f aca="false">SUM(B7:E7)</f>
        <v>10086751</v>
      </c>
      <c r="G7" s="13" t="n">
        <f aca="false">COUNT(B7:E7)</f>
        <v>3</v>
      </c>
      <c r="H7" s="14" t="n">
        <f aca="false">IF(AND(ISNUMBER(B7),ISNUMBER(B$5)),B7/B$5,"-")</f>
        <v>16.7997562189055</v>
      </c>
      <c r="I7" s="14" t="str">
        <f aca="false">IF(AND(ISNUMBER(C7),ISNUMBER(C$5)),C7/C$5,"-")</f>
        <v>-</v>
      </c>
      <c r="J7" s="14" t="n">
        <f aca="false">IF(AND(ISNUMBER(D7),ISNUMBER(D$5)),D7/D$5,"-")</f>
        <v>3.75704445835942</v>
      </c>
      <c r="K7" s="14" t="n">
        <f aca="false">IF(AND(ISNUMBER(E7),ISNUMBER(E$5)),E7/E$5,"-")</f>
        <v>8.74603174603175</v>
      </c>
      <c r="L7" s="14" t="n">
        <f aca="false">IF(AND(ISNUMBER(F7),ISNUMBER(F$5)),F7/F$5,"-")</f>
        <v>8.33546896950665</v>
      </c>
    </row>
    <row r="8" customFormat="false" ht="15" hidden="false" customHeight="false" outlineLevel="0" collapsed="false">
      <c r="A8" s="10" t="s">
        <v>17</v>
      </c>
      <c r="B8" s="11" t="n">
        <v>1100000</v>
      </c>
      <c r="C8" s="11" t="n">
        <v>745000</v>
      </c>
      <c r="D8" s="11" t="n">
        <v>99300</v>
      </c>
      <c r="E8" s="11" t="n">
        <v>2600000</v>
      </c>
      <c r="F8" s="12" t="n">
        <f aca="false">SUM(B8:E8)</f>
        <v>4544300</v>
      </c>
      <c r="G8" s="13" t="n">
        <f aca="false">COUNT(B8:E8)</f>
        <v>4</v>
      </c>
      <c r="H8" s="14" t="n">
        <f aca="false">IF(AND(ISNUMBER(B8),ISNUMBER(B$5)),B8/B$5,"-")</f>
        <v>5.4726368159204</v>
      </c>
      <c r="I8" s="14" t="n">
        <f aca="false">IF(AND(ISNUMBER(C8),ISNUMBER(C$5)),C8/C$5,"-")</f>
        <v>12.4790619765494</v>
      </c>
      <c r="J8" s="14" t="n">
        <f aca="false">IF(AND(ISNUMBER(D8),ISNUMBER(D$5)),D8/D$5,"-")</f>
        <v>0.310895428929242</v>
      </c>
      <c r="K8" s="14" t="n">
        <f aca="false">IF(AND(ISNUMBER(E8),ISNUMBER(E$5)),E8/E$5,"-")</f>
        <v>4.12698412698413</v>
      </c>
      <c r="L8" s="14" t="n">
        <f aca="false">IF(AND(ISNUMBER(F8),ISNUMBER(F$5)),F8/F$5,"-")</f>
        <v>3.75530947855549</v>
      </c>
    </row>
    <row r="9" customFormat="false" ht="15" hidden="false" customHeight="false" outlineLevel="0" collapsed="false">
      <c r="A9" s="15" t="s">
        <v>18</v>
      </c>
      <c r="B9" s="11" t="n">
        <v>867800</v>
      </c>
      <c r="C9" s="11" t="n">
        <v>297300</v>
      </c>
      <c r="D9" s="11" t="n">
        <v>797500</v>
      </c>
      <c r="E9" s="11" t="n">
        <v>2600000</v>
      </c>
      <c r="F9" s="12" t="n">
        <f aca="false">SUM(B9:E9)</f>
        <v>4562600</v>
      </c>
      <c r="G9" s="13" t="n">
        <f aca="false">COUNT(B9:E9)</f>
        <v>4</v>
      </c>
      <c r="H9" s="14" t="n">
        <f aca="false">IF(AND(ISNUMBER(B9),ISNUMBER(B$5)),B9/B$5,"-")</f>
        <v>4.31741293532338</v>
      </c>
      <c r="I9" s="14" t="n">
        <f aca="false">IF(AND(ISNUMBER(C9),ISNUMBER(C$5)),C9/C$5,"-")</f>
        <v>4.97989949748744</v>
      </c>
      <c r="J9" s="14" t="n">
        <f aca="false">IF(AND(ISNUMBER(D9),ISNUMBER(D$5)),D9/D$5,"-")</f>
        <v>2.49686912961803</v>
      </c>
      <c r="K9" s="14" t="n">
        <f aca="false">IF(AND(ISNUMBER(E9),ISNUMBER(E$5)),E9/E$5,"-")</f>
        <v>4.12698412698413</v>
      </c>
      <c r="L9" s="14" t="n">
        <f aca="false">IF(AND(ISNUMBER(F9),ISNUMBER(F$5)),F9/F$5,"-")</f>
        <v>3.77043219568631</v>
      </c>
    </row>
    <row r="10" customFormat="false" ht="15" hidden="false" customHeight="false" outlineLevel="0" collapsed="false">
      <c r="A10" s="15" t="s">
        <v>19</v>
      </c>
      <c r="B10" s="11"/>
      <c r="C10" s="11"/>
      <c r="D10" s="11"/>
      <c r="E10" s="11" t="n">
        <v>2290000</v>
      </c>
      <c r="F10" s="12" t="n">
        <f aca="false">SUM(B10:E10)</f>
        <v>2290000</v>
      </c>
      <c r="G10" s="13" t="n">
        <f aca="false">COUNT(B10:E10)</f>
        <v>1</v>
      </c>
      <c r="H10" s="14" t="str">
        <f aca="false">IF(AND(ISNUMBER(B10),ISNUMBER(B$5)),B10/B$5,"-")</f>
        <v>-</v>
      </c>
      <c r="I10" s="14" t="str">
        <f aca="false">IF(AND(ISNUMBER(C10),ISNUMBER(C$5)),C10/C$5,"-")</f>
        <v>-</v>
      </c>
      <c r="J10" s="14" t="str">
        <f aca="false">IF(AND(ISNUMBER(D10),ISNUMBER(D$5)),D10/D$5,"-")</f>
        <v>-</v>
      </c>
      <c r="K10" s="14" t="n">
        <f aca="false">IF(AND(ISNUMBER(E10),ISNUMBER(E$5)),E10/E$5,"-")</f>
        <v>3.63492063492064</v>
      </c>
      <c r="L10" s="14" t="n">
        <f aca="false">IF(AND(ISNUMBER(F10),ISNUMBER(F$5)),F10/F$5,"-")</f>
        <v>1.89240558631518</v>
      </c>
    </row>
    <row r="11" customFormat="false" ht="15" hidden="false" customHeight="false" outlineLevel="0" collapsed="false">
      <c r="A11" s="15" t="s">
        <v>20</v>
      </c>
      <c r="B11" s="11" t="n">
        <v>500000</v>
      </c>
      <c r="C11" s="11" t="n">
        <v>328000</v>
      </c>
      <c r="D11" s="11"/>
      <c r="E11" s="11" t="n">
        <v>597000</v>
      </c>
      <c r="F11" s="12" t="n">
        <f aca="false">SUM(B11:E11)</f>
        <v>1425000</v>
      </c>
      <c r="G11" s="13" t="n">
        <f aca="false">COUNT(B11:E11)</f>
        <v>3</v>
      </c>
      <c r="H11" s="14" t="n">
        <f aca="false">IF(AND(ISNUMBER(B11),ISNUMBER(B$5)),B11/B$5,"-")</f>
        <v>2.48756218905473</v>
      </c>
      <c r="I11" s="14" t="n">
        <f aca="false">IF(AND(ISNUMBER(C11),ISNUMBER(C$5)),C11/C$5,"-")</f>
        <v>5.49413735343384</v>
      </c>
      <c r="J11" s="14" t="str">
        <f aca="false">IF(AND(ISNUMBER(D11),ISNUMBER(D$5)),D11/D$5,"-")</f>
        <v>-</v>
      </c>
      <c r="K11" s="14" t="n">
        <f aca="false">IF(AND(ISNUMBER(E11),ISNUMBER(E$5)),E11/E$5,"-")</f>
        <v>0.947619047619048</v>
      </c>
      <c r="L11" s="14" t="n">
        <f aca="false">IF(AND(ISNUMBER(F11),ISNUMBER(F$5)),F11/F$5,"-")</f>
        <v>1.17758862903892</v>
      </c>
    </row>
    <row r="12" customFormat="false" ht="15" hidden="false" customHeight="false" outlineLevel="0" collapsed="false">
      <c r="A12" s="16" t="s">
        <v>21</v>
      </c>
      <c r="B12" s="17" t="n">
        <f aca="false">IFERROR(AVERAGE(B6:B11),"-")</f>
        <v>1590556.4</v>
      </c>
      <c r="C12" s="17" t="n">
        <f aca="false">IFERROR(AVERAGE(C6:C11),"-")</f>
        <v>684501.75</v>
      </c>
      <c r="D12" s="17" t="n">
        <f aca="false">IFERROR(AVERAGE(D6:D11),"-")</f>
        <v>774200</v>
      </c>
      <c r="E12" s="17" t="n">
        <f aca="false">IFERROR(AVERAGE(E6:E11),"-")</f>
        <v>3389500</v>
      </c>
      <c r="F12" s="17" t="n">
        <f aca="false">IFERROR(AVERAGE(F6:F11),"-")</f>
        <v>5687431.5</v>
      </c>
      <c r="G12" s="18"/>
      <c r="H12" s="19" t="n">
        <f aca="false">IF(ISNUMBER(B12),B12/B$5,"-")</f>
        <v>7.91321592039801</v>
      </c>
      <c r="I12" s="19" t="n">
        <f aca="false">IF(ISNUMBER(C12),C12/C$5,"-")</f>
        <v>11.4656909547739</v>
      </c>
      <c r="J12" s="19" t="n">
        <f aca="false">IF(ISNUMBER(D12),D12/D$5,"-")</f>
        <v>2.42391984971822</v>
      </c>
      <c r="K12" s="19" t="n">
        <f aca="false">IF(ISNUMBER(E12),E12/E$5,"-")</f>
        <v>5.38015873015873</v>
      </c>
      <c r="L12" s="19" t="n">
        <f aca="false">IF(ISNUMBER(F12),F12/F$5,"-")</f>
        <v>4.69996818444757</v>
      </c>
    </row>
    <row r="13" customFormat="false" ht="15" hidden="false" customHeight="false" outlineLevel="0" collapsed="false">
      <c r="A13" s="10" t="s">
        <v>22</v>
      </c>
      <c r="B13" s="20" t="str">
        <f aca="false">IF(ISNUMBER(B5),RANK(B5,B5:B11)&amp;"位 / "&amp;COUNT(B5:B11)&amp;"組","-")</f>
        <v>6位 / 6組</v>
      </c>
      <c r="C13" s="20" t="str">
        <f aca="false">IF(ISNUMBER(C5),RANK(C5,C5:C11)&amp;"位 / "&amp;COUNT(C5:C11)&amp;"組","-")</f>
        <v>5位 / 5組</v>
      </c>
      <c r="D13" s="20" t="str">
        <f aca="false">IF(ISNUMBER(D5),RANK(D5,D5:D11)&amp;"位 / "&amp;COUNT(D5:D11)&amp;"組","-")</f>
        <v>4位 / 5組</v>
      </c>
      <c r="E13" s="20" t="str">
        <f aca="false">IF(ISNUMBER(E5),RANK(E5,E5:E11)&amp;"位 / "&amp;COUNT(E5:E11)&amp;"組","-")</f>
        <v>6位 / 7組</v>
      </c>
      <c r="F13" s="20"/>
      <c r="G13" s="20"/>
      <c r="H13" s="20"/>
      <c r="I13" s="20"/>
      <c r="J13" s="20"/>
      <c r="K13" s="20"/>
      <c r="L13" s="20"/>
    </row>
    <row r="15" customFormat="false" ht="15" hidden="false" customHeight="false" outlineLevel="0" collapsed="false">
      <c r="A15" s="21" t="s">
        <v>23</v>
      </c>
    </row>
    <row r="16" customFormat="false" ht="15" hidden="false" customHeight="false" outlineLevel="0" collapsed="false">
      <c r="A16" s="22" t="s">
        <v>24</v>
      </c>
    </row>
    <row r="17" customFormat="false" ht="15" hidden="false" customHeight="false" outlineLevel="0" collapsed="false">
      <c r="A17" s="22" t="s">
        <v>25</v>
      </c>
    </row>
    <row r="18" customFormat="false" ht="15" hidden="false" customHeight="false" outlineLevel="0" collapsed="false">
      <c r="A18" s="22" t="s">
        <v>26</v>
      </c>
    </row>
    <row r="19" customFormat="false" ht="15" hidden="false" customHeight="false" outlineLevel="0" collapsed="false">
      <c r="A19" s="2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0"/>
    <col collapsed="false" customWidth="true" hidden="false" outlineLevel="0" max="6" min="6" style="0" width="44"/>
  </cols>
  <sheetData>
    <row r="1" customFormat="false" ht="19.4" hidden="false" customHeight="false" outlineLevel="0" collapsed="false">
      <c r="A1" s="1" t="s">
        <v>28</v>
      </c>
    </row>
    <row r="2" customFormat="false" ht="15" hidden="false" customHeight="false" outlineLevel="0" collapsed="false">
      <c r="A2" s="23" t="s">
        <v>29</v>
      </c>
    </row>
    <row r="4" customFormat="false" ht="26.85" hidden="false" customHeight="false" outlineLevel="0" collapsed="false">
      <c r="A4" s="3" t="s">
        <v>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</row>
    <row r="5" customFormat="false" ht="26.85" hidden="false" customHeight="false" outlineLevel="0" collapsed="false">
      <c r="A5" s="24" t="s">
        <v>14</v>
      </c>
      <c r="B5" s="25" t="s">
        <v>5</v>
      </c>
      <c r="C5" s="25" t="s">
        <v>35</v>
      </c>
      <c r="D5" s="26" t="s">
        <v>36</v>
      </c>
      <c r="E5" s="26" t="s">
        <v>37</v>
      </c>
      <c r="F5" s="26" t="s">
        <v>38</v>
      </c>
    </row>
    <row r="6" customFormat="false" ht="26.85" hidden="false" customHeight="false" outlineLevel="0" collapsed="false">
      <c r="A6" s="24" t="s">
        <v>14</v>
      </c>
      <c r="B6" s="25" t="s">
        <v>39</v>
      </c>
      <c r="C6" s="25" t="s">
        <v>40</v>
      </c>
      <c r="D6" s="26" t="s">
        <v>41</v>
      </c>
      <c r="E6" s="26" t="s">
        <v>42</v>
      </c>
      <c r="F6" s="26" t="s">
        <v>43</v>
      </c>
    </row>
    <row r="7" customFormat="false" ht="26.85" hidden="false" customHeight="false" outlineLevel="0" collapsed="false">
      <c r="A7" s="24" t="s">
        <v>14</v>
      </c>
      <c r="B7" s="25" t="s">
        <v>44</v>
      </c>
      <c r="C7" s="25" t="s">
        <v>45</v>
      </c>
      <c r="D7" s="26" t="s">
        <v>46</v>
      </c>
      <c r="E7" s="25" t="s">
        <v>47</v>
      </c>
      <c r="F7" s="25" t="s">
        <v>48</v>
      </c>
    </row>
    <row r="8" customFormat="false" ht="26.85" hidden="false" customHeight="false" outlineLevel="0" collapsed="false">
      <c r="A8" s="24" t="s">
        <v>14</v>
      </c>
      <c r="B8" s="25" t="s">
        <v>5</v>
      </c>
      <c r="C8" s="26" t="s">
        <v>49</v>
      </c>
      <c r="D8" s="26" t="s">
        <v>50</v>
      </c>
      <c r="E8" s="26" t="s">
        <v>51</v>
      </c>
      <c r="F8" s="25" t="s">
        <v>52</v>
      </c>
    </row>
    <row r="9" customFormat="false" ht="26.85" hidden="false" customHeight="false" outlineLevel="0" collapsed="false">
      <c r="A9" s="24" t="s">
        <v>14</v>
      </c>
      <c r="B9" s="26" t="s">
        <v>53</v>
      </c>
      <c r="C9" s="25" t="s">
        <v>54</v>
      </c>
      <c r="D9" s="25" t="s">
        <v>55</v>
      </c>
      <c r="E9" s="26" t="s">
        <v>56</v>
      </c>
      <c r="F9" s="25" t="s">
        <v>57</v>
      </c>
    </row>
    <row r="10" customFormat="false" ht="15" hidden="false" customHeight="false" outlineLevel="0" collapsed="false">
      <c r="A10" s="27" t="s">
        <v>15</v>
      </c>
      <c r="B10" s="28" t="s">
        <v>58</v>
      </c>
      <c r="C10" s="28" t="s">
        <v>59</v>
      </c>
      <c r="D10" s="29" t="s">
        <v>60</v>
      </c>
      <c r="E10" s="29" t="s">
        <v>61</v>
      </c>
      <c r="F10" s="29" t="s">
        <v>62</v>
      </c>
    </row>
    <row r="11" customFormat="false" ht="26.85" hidden="false" customHeight="false" outlineLevel="0" collapsed="false">
      <c r="A11" s="27" t="s">
        <v>15</v>
      </c>
      <c r="B11" s="28" t="s">
        <v>5</v>
      </c>
      <c r="C11" s="28" t="s">
        <v>63</v>
      </c>
      <c r="D11" s="29" t="s">
        <v>64</v>
      </c>
      <c r="E11" s="29" t="s">
        <v>65</v>
      </c>
      <c r="F11" s="29" t="s">
        <v>66</v>
      </c>
    </row>
    <row r="12" customFormat="false" ht="26.85" hidden="false" customHeight="false" outlineLevel="0" collapsed="false">
      <c r="A12" s="27" t="s">
        <v>15</v>
      </c>
      <c r="B12" s="28" t="s">
        <v>67</v>
      </c>
      <c r="C12" s="28" t="s">
        <v>68</v>
      </c>
      <c r="D12" s="29" t="s">
        <v>69</v>
      </c>
      <c r="E12" s="28" t="s">
        <v>70</v>
      </c>
      <c r="F12" s="29" t="s">
        <v>71</v>
      </c>
    </row>
    <row r="13" customFormat="false" ht="26.85" hidden="false" customHeight="false" outlineLevel="0" collapsed="false">
      <c r="A13" s="27" t="s">
        <v>15</v>
      </c>
      <c r="B13" s="29" t="s">
        <v>72</v>
      </c>
      <c r="C13" s="28" t="s">
        <v>73</v>
      </c>
      <c r="D13" s="28" t="s">
        <v>74</v>
      </c>
      <c r="E13" s="29" t="s">
        <v>75</v>
      </c>
      <c r="F13" s="29" t="s">
        <v>76</v>
      </c>
    </row>
    <row r="14" customFormat="false" ht="15" hidden="false" customHeight="false" outlineLevel="0" collapsed="false">
      <c r="A14" s="27" t="s">
        <v>15</v>
      </c>
      <c r="B14" s="28" t="s">
        <v>4</v>
      </c>
      <c r="C14" s="28" t="s">
        <v>77</v>
      </c>
      <c r="D14" s="29" t="s">
        <v>78</v>
      </c>
      <c r="E14" s="29" t="s">
        <v>79</v>
      </c>
      <c r="F14" s="29" t="s">
        <v>80</v>
      </c>
    </row>
    <row r="15" customFormat="false" ht="15" hidden="false" customHeight="false" outlineLevel="0" collapsed="false">
      <c r="A15" s="30" t="s">
        <v>16</v>
      </c>
      <c r="B15" s="28" t="s">
        <v>3</v>
      </c>
      <c r="C15" s="28" t="s">
        <v>81</v>
      </c>
      <c r="D15" s="29" t="s">
        <v>82</v>
      </c>
      <c r="E15" s="29" t="s">
        <v>83</v>
      </c>
      <c r="F15" s="29" t="s">
        <v>84</v>
      </c>
    </row>
    <row r="16" customFormat="false" ht="26.85" hidden="false" customHeight="false" outlineLevel="0" collapsed="false">
      <c r="A16" s="30" t="s">
        <v>16</v>
      </c>
      <c r="B16" s="28" t="s">
        <v>85</v>
      </c>
      <c r="C16" s="28" t="s">
        <v>81</v>
      </c>
      <c r="D16" s="29" t="s">
        <v>86</v>
      </c>
      <c r="E16" s="29" t="s">
        <v>87</v>
      </c>
      <c r="F16" s="28" t="s">
        <v>88</v>
      </c>
    </row>
    <row r="17" customFormat="false" ht="15" hidden="false" customHeight="false" outlineLevel="0" collapsed="false">
      <c r="A17" s="30" t="s">
        <v>16</v>
      </c>
      <c r="B17" s="29" t="s">
        <v>89</v>
      </c>
      <c r="C17" s="28" t="s">
        <v>90</v>
      </c>
      <c r="D17" s="29" t="s">
        <v>91</v>
      </c>
      <c r="E17" s="29" t="s">
        <v>92</v>
      </c>
      <c r="F17" s="28" t="s">
        <v>93</v>
      </c>
    </row>
    <row r="18" customFormat="false" ht="26.85" hidden="false" customHeight="false" outlineLevel="0" collapsed="false">
      <c r="A18" s="30" t="s">
        <v>16</v>
      </c>
      <c r="B18" s="29" t="s">
        <v>94</v>
      </c>
      <c r="C18" s="28" t="s">
        <v>95</v>
      </c>
      <c r="D18" s="28" t="s">
        <v>96</v>
      </c>
      <c r="E18" s="29" t="s">
        <v>97</v>
      </c>
      <c r="F18" s="28" t="s">
        <v>98</v>
      </c>
    </row>
    <row r="19" customFormat="false" ht="15" hidden="false" customHeight="false" outlineLevel="0" collapsed="false">
      <c r="A19" s="27" t="s">
        <v>17</v>
      </c>
      <c r="B19" s="28" t="s">
        <v>4</v>
      </c>
      <c r="C19" s="28" t="s">
        <v>40</v>
      </c>
      <c r="D19" s="28" t="s">
        <v>99</v>
      </c>
      <c r="E19" s="29" t="s">
        <v>100</v>
      </c>
      <c r="F19" s="29" t="s">
        <v>101</v>
      </c>
    </row>
    <row r="20" customFormat="false" ht="26.85" hidden="false" customHeight="false" outlineLevel="0" collapsed="false">
      <c r="A20" s="27" t="s">
        <v>17</v>
      </c>
      <c r="B20" s="29" t="s">
        <v>102</v>
      </c>
      <c r="C20" s="28" t="s">
        <v>103</v>
      </c>
      <c r="D20" s="28" t="s">
        <v>104</v>
      </c>
      <c r="E20" s="29" t="s">
        <v>105</v>
      </c>
      <c r="F20" s="29" t="s">
        <v>106</v>
      </c>
    </row>
    <row r="21" customFormat="false" ht="26.85" hidden="false" customHeight="false" outlineLevel="0" collapsed="false">
      <c r="A21" s="27" t="s">
        <v>17</v>
      </c>
      <c r="B21" s="29" t="s">
        <v>102</v>
      </c>
      <c r="C21" s="29" t="s">
        <v>107</v>
      </c>
      <c r="D21" s="29" t="s">
        <v>108</v>
      </c>
      <c r="E21" s="29" t="s">
        <v>97</v>
      </c>
      <c r="F21" s="29" t="s">
        <v>109</v>
      </c>
    </row>
    <row r="22" customFormat="false" ht="15" hidden="false" customHeight="false" outlineLevel="0" collapsed="false">
      <c r="A22" s="30" t="s">
        <v>18</v>
      </c>
      <c r="B22" s="29" t="s">
        <v>89</v>
      </c>
      <c r="C22" s="28" t="s">
        <v>110</v>
      </c>
      <c r="D22" s="29" t="s">
        <v>111</v>
      </c>
      <c r="E22" s="29" t="s">
        <v>92</v>
      </c>
      <c r="F22" s="28" t="s">
        <v>112</v>
      </c>
    </row>
    <row r="23" customFormat="false" ht="26.85" hidden="false" customHeight="false" outlineLevel="0" collapsed="false">
      <c r="A23" s="30" t="s">
        <v>18</v>
      </c>
      <c r="B23" s="29" t="s">
        <v>102</v>
      </c>
      <c r="C23" s="28" t="s">
        <v>113</v>
      </c>
      <c r="D23" s="29" t="s">
        <v>114</v>
      </c>
      <c r="E23" s="29" t="s">
        <v>97</v>
      </c>
      <c r="F23" s="29" t="s">
        <v>115</v>
      </c>
    </row>
    <row r="24" customFormat="false" ht="26.85" hidden="false" customHeight="false" outlineLevel="0" collapsed="false">
      <c r="A24" s="30" t="s">
        <v>18</v>
      </c>
      <c r="B24" s="28" t="s">
        <v>67</v>
      </c>
      <c r="C24" s="29" t="s">
        <v>116</v>
      </c>
      <c r="D24" s="28" t="s">
        <v>117</v>
      </c>
      <c r="E24" s="29" t="s">
        <v>118</v>
      </c>
      <c r="F24" s="28" t="s">
        <v>119</v>
      </c>
    </row>
    <row r="25" customFormat="false" ht="26.85" hidden="false" customHeight="false" outlineLevel="0" collapsed="false">
      <c r="A25" s="30" t="s">
        <v>19</v>
      </c>
      <c r="B25" s="28" t="s">
        <v>5</v>
      </c>
      <c r="C25" s="28" t="s">
        <v>81</v>
      </c>
      <c r="D25" s="28" t="s">
        <v>120</v>
      </c>
      <c r="E25" s="29" t="s">
        <v>121</v>
      </c>
      <c r="F25" s="29" t="s">
        <v>122</v>
      </c>
    </row>
    <row r="26" customFormat="false" ht="15" hidden="false" customHeight="false" outlineLevel="0" collapsed="false">
      <c r="A26" s="30" t="s">
        <v>19</v>
      </c>
      <c r="B26" s="29" t="s">
        <v>102</v>
      </c>
      <c r="C26" s="28" t="s">
        <v>123</v>
      </c>
      <c r="D26" s="29" t="s">
        <v>124</v>
      </c>
      <c r="E26" s="29" t="s">
        <v>42</v>
      </c>
      <c r="F26" s="28" t="s">
        <v>112</v>
      </c>
    </row>
    <row r="27" customFormat="false" ht="26.85" hidden="false" customHeight="false" outlineLevel="0" collapsed="false">
      <c r="A27" s="30" t="s">
        <v>19</v>
      </c>
      <c r="B27" s="29" t="s">
        <v>102</v>
      </c>
      <c r="C27" s="28" t="s">
        <v>125</v>
      </c>
      <c r="D27" s="29" t="s">
        <v>126</v>
      </c>
      <c r="E27" s="29" t="s">
        <v>97</v>
      </c>
      <c r="F27" s="28" t="s">
        <v>112</v>
      </c>
    </row>
    <row r="28" customFormat="false" ht="15" hidden="false" customHeight="false" outlineLevel="0" collapsed="false">
      <c r="A28" s="30" t="s">
        <v>20</v>
      </c>
      <c r="B28" s="28" t="s">
        <v>67</v>
      </c>
      <c r="C28" s="28" t="s">
        <v>127</v>
      </c>
      <c r="D28" s="29" t="s">
        <v>128</v>
      </c>
      <c r="E28" s="28" t="s">
        <v>129</v>
      </c>
      <c r="F28" s="28" t="s">
        <v>112</v>
      </c>
    </row>
    <row r="29" customFormat="false" ht="26.85" hidden="false" customHeight="false" outlineLevel="0" collapsed="false">
      <c r="A29" s="30" t="s">
        <v>20</v>
      </c>
      <c r="B29" s="28" t="s">
        <v>4</v>
      </c>
      <c r="C29" s="28" t="s">
        <v>130</v>
      </c>
      <c r="D29" s="29" t="s">
        <v>131</v>
      </c>
      <c r="E29" s="29" t="s">
        <v>132</v>
      </c>
      <c r="F29" s="29" t="s">
        <v>133</v>
      </c>
    </row>
    <row r="30" customFormat="false" ht="15" hidden="false" customHeight="false" outlineLevel="0" collapsed="false">
      <c r="A30" s="30" t="s">
        <v>20</v>
      </c>
      <c r="B30" s="29" t="s">
        <v>134</v>
      </c>
      <c r="C30" s="28" t="s">
        <v>135</v>
      </c>
      <c r="D30" s="28" t="s">
        <v>136</v>
      </c>
      <c r="E30" s="28" t="s">
        <v>137</v>
      </c>
      <c r="F30" s="29" t="s">
        <v>138</v>
      </c>
    </row>
  </sheetData>
  <autoFilter ref="A4:F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67</v>
      </c>
      <c r="F4" s="3" t="s">
        <v>141</v>
      </c>
      <c r="G4" s="3" t="s">
        <v>142</v>
      </c>
      <c r="H4" s="3" t="s">
        <v>143</v>
      </c>
    </row>
    <row r="5" customFormat="false" ht="26.85" hidden="false" customHeight="false" outlineLevel="0" collapsed="false">
      <c r="A5" s="24" t="s">
        <v>14</v>
      </c>
      <c r="B5" s="25" t="s">
        <v>144</v>
      </c>
      <c r="C5" s="25" t="s">
        <v>145</v>
      </c>
      <c r="D5" s="25" t="s">
        <v>145</v>
      </c>
      <c r="E5" s="25" t="s">
        <v>146</v>
      </c>
      <c r="F5" s="25" t="s">
        <v>147</v>
      </c>
      <c r="G5" s="26" t="s">
        <v>148</v>
      </c>
      <c r="H5" s="25" t="s">
        <v>149</v>
      </c>
    </row>
    <row r="6" customFormat="false" ht="26.85" hidden="false" customHeight="false" outlineLevel="0" collapsed="false">
      <c r="A6" s="27" t="s">
        <v>15</v>
      </c>
      <c r="B6" s="29" t="s">
        <v>150</v>
      </c>
      <c r="C6" s="29" t="s">
        <v>151</v>
      </c>
      <c r="D6" s="28" t="s">
        <v>152</v>
      </c>
      <c r="E6" s="29" t="s">
        <v>153</v>
      </c>
      <c r="F6" s="28" t="s">
        <v>154</v>
      </c>
      <c r="G6" s="29" t="s">
        <v>148</v>
      </c>
      <c r="H6" s="28" t="s">
        <v>155</v>
      </c>
    </row>
    <row r="7" customFormat="false" ht="26.85" hidden="false" customHeight="false" outlineLevel="0" collapsed="false">
      <c r="A7" s="30" t="s">
        <v>16</v>
      </c>
      <c r="B7" s="28" t="s">
        <v>156</v>
      </c>
      <c r="C7" s="28" t="s">
        <v>157</v>
      </c>
      <c r="D7" s="28" t="s">
        <v>158</v>
      </c>
      <c r="E7" s="28" t="s">
        <v>159</v>
      </c>
      <c r="F7" s="28" t="s">
        <v>160</v>
      </c>
      <c r="G7" s="29" t="s">
        <v>148</v>
      </c>
      <c r="H7" s="28" t="s">
        <v>112</v>
      </c>
    </row>
    <row r="8" customFormat="false" ht="26.85" hidden="false" customHeight="false" outlineLevel="0" collapsed="false">
      <c r="A8" s="27" t="s">
        <v>17</v>
      </c>
      <c r="B8" s="28" t="s">
        <v>161</v>
      </c>
      <c r="C8" s="29" t="s">
        <v>162</v>
      </c>
      <c r="D8" s="28" t="s">
        <v>163</v>
      </c>
      <c r="E8" s="28" t="s">
        <v>164</v>
      </c>
      <c r="F8" s="28" t="s">
        <v>165</v>
      </c>
      <c r="G8" s="29" t="s">
        <v>148</v>
      </c>
      <c r="H8" s="29" t="s">
        <v>166</v>
      </c>
    </row>
    <row r="9" customFormat="false" ht="26.85" hidden="false" customHeight="false" outlineLevel="0" collapsed="false">
      <c r="A9" s="30" t="s">
        <v>18</v>
      </c>
      <c r="B9" s="29" t="s">
        <v>167</v>
      </c>
      <c r="C9" s="28" t="s">
        <v>168</v>
      </c>
      <c r="D9" s="28" t="s">
        <v>169</v>
      </c>
      <c r="E9" s="29" t="s">
        <v>170</v>
      </c>
      <c r="F9" s="28" t="s">
        <v>171</v>
      </c>
      <c r="G9" s="29" t="s">
        <v>148</v>
      </c>
      <c r="H9" s="28" t="s">
        <v>112</v>
      </c>
    </row>
    <row r="10" customFormat="false" ht="26.85" hidden="false" customHeight="false" outlineLevel="0" collapsed="false">
      <c r="A10" s="30" t="s">
        <v>19</v>
      </c>
      <c r="B10" s="28" t="s">
        <v>172</v>
      </c>
      <c r="C10" s="28" t="s">
        <v>173</v>
      </c>
      <c r="D10" s="28" t="s">
        <v>174</v>
      </c>
      <c r="E10" s="29" t="s">
        <v>175</v>
      </c>
      <c r="F10" s="28" t="s">
        <v>176</v>
      </c>
      <c r="G10" s="29" t="s">
        <v>148</v>
      </c>
      <c r="H10" s="29" t="s">
        <v>177</v>
      </c>
    </row>
    <row r="11" customFormat="false" ht="26.85" hidden="false" customHeight="false" outlineLevel="0" collapsed="false">
      <c r="A11" s="30" t="s">
        <v>20</v>
      </c>
      <c r="B11" s="28" t="s">
        <v>178</v>
      </c>
      <c r="C11" s="28" t="s">
        <v>179</v>
      </c>
      <c r="D11" s="28" t="s">
        <v>180</v>
      </c>
      <c r="E11" s="29" t="s">
        <v>181</v>
      </c>
      <c r="F11" s="28" t="s">
        <v>182</v>
      </c>
      <c r="G11" s="29" t="s">
        <v>148</v>
      </c>
      <c r="H11" s="28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36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2" t="s">
        <v>185</v>
      </c>
    </row>
    <row r="4" customFormat="false" ht="15" hidden="false" customHeight="false" outlineLevel="0" collapsed="false">
      <c r="A4" s="3" t="s">
        <v>2</v>
      </c>
      <c r="B4" s="3" t="s">
        <v>186</v>
      </c>
      <c r="C4" s="3" t="s">
        <v>187</v>
      </c>
      <c r="D4" s="3" t="s">
        <v>188</v>
      </c>
      <c r="E4" s="4" t="s">
        <v>189</v>
      </c>
    </row>
    <row r="5" customFormat="false" ht="26.85" hidden="false" customHeight="false" outlineLevel="0" collapsed="false">
      <c r="A5" s="24" t="s">
        <v>14</v>
      </c>
      <c r="B5" s="25" t="s">
        <v>190</v>
      </c>
      <c r="C5" s="26" t="s">
        <v>191</v>
      </c>
      <c r="D5" s="25" t="s">
        <v>192</v>
      </c>
      <c r="E5" s="26" t="s">
        <v>193</v>
      </c>
    </row>
    <row r="6" customFormat="false" ht="26.85" hidden="false" customHeight="false" outlineLevel="0" collapsed="false">
      <c r="A6" s="27" t="s">
        <v>15</v>
      </c>
      <c r="B6" s="28" t="s">
        <v>194</v>
      </c>
      <c r="C6" s="29" t="s">
        <v>195</v>
      </c>
      <c r="D6" s="29" t="s">
        <v>196</v>
      </c>
      <c r="E6" s="28" t="s">
        <v>197</v>
      </c>
    </row>
    <row r="7" customFormat="false" ht="26.85" hidden="false" customHeight="false" outlineLevel="0" collapsed="false">
      <c r="A7" s="30" t="s">
        <v>16</v>
      </c>
      <c r="B7" s="28" t="s">
        <v>198</v>
      </c>
      <c r="C7" s="28" t="s">
        <v>199</v>
      </c>
      <c r="D7" s="29" t="s">
        <v>200</v>
      </c>
      <c r="E7" s="28" t="s">
        <v>201</v>
      </c>
    </row>
    <row r="8" customFormat="false" ht="26.85" hidden="false" customHeight="false" outlineLevel="0" collapsed="false">
      <c r="A8" s="27" t="s">
        <v>17</v>
      </c>
      <c r="B8" s="28" t="s">
        <v>202</v>
      </c>
      <c r="C8" s="29" t="s">
        <v>203</v>
      </c>
      <c r="D8" s="29" t="s">
        <v>204</v>
      </c>
      <c r="E8" s="29" t="s">
        <v>205</v>
      </c>
    </row>
    <row r="9" customFormat="false" ht="26.85" hidden="false" customHeight="false" outlineLevel="0" collapsed="false">
      <c r="A9" s="30" t="s">
        <v>18</v>
      </c>
      <c r="B9" s="28" t="s">
        <v>206</v>
      </c>
      <c r="C9" s="29" t="s">
        <v>207</v>
      </c>
      <c r="D9" s="29" t="s">
        <v>208</v>
      </c>
      <c r="E9" s="29" t="s">
        <v>209</v>
      </c>
    </row>
    <row r="10" customFormat="false" ht="26.85" hidden="false" customHeight="false" outlineLevel="0" collapsed="false">
      <c r="A10" s="30" t="s">
        <v>19</v>
      </c>
      <c r="B10" s="28" t="s">
        <v>210</v>
      </c>
      <c r="C10" s="28" t="s">
        <v>211</v>
      </c>
      <c r="D10" s="29" t="s">
        <v>212</v>
      </c>
      <c r="E10" s="29" t="s">
        <v>213</v>
      </c>
    </row>
    <row r="11" customFormat="false" ht="26.85" hidden="false" customHeight="false" outlineLevel="0" collapsed="false">
      <c r="A11" s="30" t="s">
        <v>20</v>
      </c>
      <c r="B11" s="28" t="s">
        <v>214</v>
      </c>
      <c r="C11" s="28" t="s">
        <v>215</v>
      </c>
      <c r="D11" s="29" t="s">
        <v>216</v>
      </c>
      <c r="E11" s="28" t="s">
        <v>217</v>
      </c>
    </row>
    <row r="13" customFormat="false" ht="15" hidden="false" customHeight="false" outlineLevel="0" collapsed="false">
      <c r="A13" s="21" t="s">
        <v>218</v>
      </c>
    </row>
    <row r="14" customFormat="false" ht="15" hidden="false" customHeight="false" outlineLevel="0" collapsed="false">
      <c r="A14" s="22" t="s">
        <v>219</v>
      </c>
    </row>
    <row r="15" customFormat="false" ht="15" hidden="false" customHeight="false" outlineLevel="0" collapsed="false">
      <c r="A15" s="22" t="s">
        <v>220</v>
      </c>
    </row>
    <row r="16" customFormat="false" ht="15" hidden="false" customHeight="false" outlineLevel="0" collapsed="false">
      <c r="A16" s="22" t="s">
        <v>221</v>
      </c>
    </row>
    <row r="17" customFormat="false" ht="15" hidden="false" customHeight="false" outlineLevel="0" collapsed="false">
      <c r="A17" s="22" t="s">
        <v>222</v>
      </c>
    </row>
    <row r="18" customFormat="false" ht="15" hidden="false" customHeight="false" outlineLevel="0" collapsed="false">
      <c r="A18" s="22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4" t="s">
        <v>225</v>
      </c>
      <c r="B4" s="3" t="s">
        <v>226</v>
      </c>
      <c r="C4" s="4" t="s">
        <v>227</v>
      </c>
    </row>
    <row r="5" customFormat="false" ht="15" hidden="false" customHeight="false" outlineLevel="0" collapsed="false">
      <c r="A5" s="22" t="n">
        <v>1</v>
      </c>
      <c r="B5" s="31" t="s">
        <v>228</v>
      </c>
      <c r="C5" s="32" t="s">
        <v>229</v>
      </c>
    </row>
    <row r="6" customFormat="false" ht="15" hidden="false" customHeight="false" outlineLevel="0" collapsed="false">
      <c r="A6" s="31" t="n">
        <v>2</v>
      </c>
      <c r="B6" s="31" t="s">
        <v>230</v>
      </c>
      <c r="C6" s="32" t="s">
        <v>231</v>
      </c>
    </row>
    <row r="7" customFormat="false" ht="15" hidden="false" customHeight="false" outlineLevel="0" collapsed="false">
      <c r="A7" s="31" t="n">
        <v>3</v>
      </c>
      <c r="B7" s="31" t="s">
        <v>232</v>
      </c>
      <c r="C7" s="32" t="s">
        <v>233</v>
      </c>
    </row>
    <row r="8" customFormat="false" ht="15" hidden="false" customHeight="false" outlineLevel="0" collapsed="false">
      <c r="A8" s="31" t="n">
        <v>4</v>
      </c>
      <c r="B8" s="31" t="s">
        <v>234</v>
      </c>
      <c r="C8" s="32" t="s">
        <v>235</v>
      </c>
    </row>
    <row r="9" customFormat="false" ht="15" hidden="false" customHeight="false" outlineLevel="0" collapsed="false">
      <c r="A9" s="31" t="n">
        <v>5</v>
      </c>
      <c r="B9" s="31" t="s">
        <v>236</v>
      </c>
      <c r="C9" s="32" t="s">
        <v>237</v>
      </c>
    </row>
    <row r="10" customFormat="false" ht="15" hidden="false" customHeight="false" outlineLevel="0" collapsed="false">
      <c r="A10" s="31" t="n">
        <v>6</v>
      </c>
      <c r="B10" s="31" t="s">
        <v>238</v>
      </c>
      <c r="C10" s="32" t="s">
        <v>239</v>
      </c>
    </row>
    <row r="11" customFormat="false" ht="15" hidden="false" customHeight="false" outlineLevel="0" collapsed="false">
      <c r="A11" s="31" t="n">
        <v>7</v>
      </c>
      <c r="B11" s="31" t="s">
        <v>240</v>
      </c>
      <c r="C11" s="32" t="s">
        <v>241</v>
      </c>
    </row>
    <row r="12" customFormat="false" ht="15" hidden="false" customHeight="false" outlineLevel="0" collapsed="false">
      <c r="A12" s="31" t="n">
        <v>8</v>
      </c>
      <c r="B12" s="31" t="s">
        <v>242</v>
      </c>
      <c r="C12" s="32" t="s">
        <v>243</v>
      </c>
    </row>
    <row r="13" customFormat="false" ht="15" hidden="false" customHeight="false" outlineLevel="0" collapsed="false">
      <c r="A13" s="31" t="n">
        <v>9</v>
      </c>
      <c r="B13" s="31" t="s">
        <v>244</v>
      </c>
      <c r="C13" s="32" t="s">
        <v>245</v>
      </c>
    </row>
    <row r="14" customFormat="false" ht="15" hidden="false" customHeight="false" outlineLevel="0" collapsed="false">
      <c r="A14" s="31" t="n">
        <v>10</v>
      </c>
      <c r="B14" s="31" t="s">
        <v>246</v>
      </c>
      <c r="C14" s="32" t="s">
        <v>247</v>
      </c>
    </row>
    <row r="15" customFormat="false" ht="15" hidden="false" customHeight="false" outlineLevel="0" collapsed="false">
      <c r="A15" s="31" t="n">
        <v>11</v>
      </c>
      <c r="B15" s="31" t="s">
        <v>248</v>
      </c>
      <c r="C15" s="32" t="s">
        <v>249</v>
      </c>
    </row>
    <row r="16" customFormat="false" ht="15" hidden="false" customHeight="false" outlineLevel="0" collapsed="false">
      <c r="A16" s="31" t="n">
        <v>12</v>
      </c>
      <c r="B16" s="31" t="s">
        <v>250</v>
      </c>
      <c r="C16" s="32" t="s">
        <v>251</v>
      </c>
    </row>
    <row r="17" customFormat="false" ht="15" hidden="false" customHeight="false" outlineLevel="0" collapsed="false">
      <c r="A17" s="31" t="n">
        <v>13</v>
      </c>
      <c r="B17" s="22" t="s">
        <v>252</v>
      </c>
      <c r="C17" s="32" t="s">
        <v>253</v>
      </c>
    </row>
    <row r="18" customFormat="false" ht="15" hidden="false" customHeight="false" outlineLevel="0" collapsed="false">
      <c r="A18" s="31" t="n">
        <v>14</v>
      </c>
      <c r="B18" s="31" t="s">
        <v>254</v>
      </c>
      <c r="C18" s="32" t="s">
        <v>255</v>
      </c>
    </row>
    <row r="19" customFormat="false" ht="15" hidden="false" customHeight="false" outlineLevel="0" collapsed="false">
      <c r="A19" s="31" t="n">
        <v>15</v>
      </c>
      <c r="B19" s="31" t="s">
        <v>256</v>
      </c>
      <c r="C19" s="32" t="s">
        <v>257</v>
      </c>
    </row>
    <row r="20" customFormat="false" ht="15" hidden="false" customHeight="false" outlineLevel="0" collapsed="false">
      <c r="A20" s="31" t="n">
        <v>16</v>
      </c>
      <c r="B20" s="31" t="s">
        <v>258</v>
      </c>
      <c r="C20" s="32" t="s">
        <v>259</v>
      </c>
    </row>
    <row r="21" customFormat="false" ht="15" hidden="false" customHeight="false" outlineLevel="0" collapsed="false">
      <c r="A21" s="31" t="n">
        <v>17</v>
      </c>
      <c r="B21" s="31" t="s">
        <v>260</v>
      </c>
      <c r="C21" s="32" t="s">
        <v>261</v>
      </c>
    </row>
    <row r="22" customFormat="false" ht="15" hidden="false" customHeight="false" outlineLevel="0" collapsed="false">
      <c r="A22" s="31" t="n">
        <v>18</v>
      </c>
      <c r="B22" s="31" t="s">
        <v>262</v>
      </c>
      <c r="C22" s="32" t="s">
        <v>263</v>
      </c>
    </row>
    <row r="23" customFormat="false" ht="15" hidden="false" customHeight="false" outlineLevel="0" collapsed="false">
      <c r="A23" s="31" t="n">
        <v>19</v>
      </c>
      <c r="B23" s="22" t="s">
        <v>264</v>
      </c>
      <c r="C23" s="32" t="s">
        <v>265</v>
      </c>
    </row>
    <row r="24" customFormat="false" ht="15" hidden="false" customHeight="false" outlineLevel="0" collapsed="false">
      <c r="A24" s="31" t="n">
        <v>20</v>
      </c>
      <c r="B24" s="22" t="s">
        <v>266</v>
      </c>
      <c r="C24" s="32" t="s">
        <v>267</v>
      </c>
    </row>
    <row r="25" customFormat="false" ht="15" hidden="false" customHeight="false" outlineLevel="0" collapsed="false">
      <c r="A25" s="31" t="n">
        <v>21</v>
      </c>
      <c r="B25" s="31" t="s">
        <v>268</v>
      </c>
      <c r="C25" s="32" t="s">
        <v>269</v>
      </c>
    </row>
    <row r="26" customFormat="false" ht="15" hidden="false" customHeight="false" outlineLevel="0" collapsed="false">
      <c r="A26" s="31" t="n">
        <v>22</v>
      </c>
      <c r="B26" s="31" t="s">
        <v>270</v>
      </c>
      <c r="C26" s="32" t="s">
        <v>271</v>
      </c>
    </row>
    <row r="27" customFormat="false" ht="15" hidden="false" customHeight="false" outlineLevel="0" collapsed="false">
      <c r="A27" s="31" t="n">
        <v>23</v>
      </c>
      <c r="B27" s="31" t="s">
        <v>272</v>
      </c>
      <c r="C27" s="32" t="s">
        <v>273</v>
      </c>
    </row>
    <row r="28" customFormat="false" ht="15" hidden="false" customHeight="false" outlineLevel="0" collapsed="false">
      <c r="A28" s="31" t="n">
        <v>24</v>
      </c>
      <c r="B28" s="22" t="s">
        <v>274</v>
      </c>
      <c r="C28" s="32" t="s">
        <v>275</v>
      </c>
    </row>
    <row r="29" customFormat="false" ht="15" hidden="false" customHeight="false" outlineLevel="0" collapsed="false">
      <c r="A29" s="31" t="n">
        <v>25</v>
      </c>
      <c r="B29" s="22" t="s">
        <v>276</v>
      </c>
      <c r="C29" s="32" t="s">
        <v>277</v>
      </c>
    </row>
    <row r="30" customFormat="false" ht="15" hidden="false" customHeight="false" outlineLevel="0" collapsed="false">
      <c r="A30" s="31" t="n">
        <v>26</v>
      </c>
      <c r="B30" s="22" t="s">
        <v>278</v>
      </c>
      <c r="C30" s="32" t="s">
        <v>279</v>
      </c>
    </row>
    <row r="31" customFormat="false" ht="15" hidden="false" customHeight="false" outlineLevel="0" collapsed="false">
      <c r="A31" s="31" t="n">
        <v>27</v>
      </c>
      <c r="B31" s="31" t="s">
        <v>280</v>
      </c>
      <c r="C31" s="32" t="s">
        <v>281</v>
      </c>
    </row>
    <row r="32" customFormat="false" ht="15" hidden="false" customHeight="false" outlineLevel="0" collapsed="false">
      <c r="A32" s="31" t="n">
        <v>28</v>
      </c>
      <c r="B32" s="31" t="s">
        <v>282</v>
      </c>
      <c r="C32" s="32" t="s">
        <v>283</v>
      </c>
    </row>
    <row r="33" customFormat="false" ht="15" hidden="false" customHeight="false" outlineLevel="0" collapsed="false">
      <c r="A33" s="31" t="n">
        <v>29</v>
      </c>
      <c r="B33" s="31" t="s">
        <v>284</v>
      </c>
      <c r="C33" s="32" t="s">
        <v>285</v>
      </c>
    </row>
    <row r="34" customFormat="false" ht="15" hidden="false" customHeight="false" outlineLevel="0" collapsed="false">
      <c r="A34" s="31" t="n">
        <v>30</v>
      </c>
      <c r="B34" s="31" t="s">
        <v>286</v>
      </c>
      <c r="C34" s="32" t="s">
        <v>287</v>
      </c>
    </row>
    <row r="35" customFormat="false" ht="15" hidden="false" customHeight="false" outlineLevel="0" collapsed="false">
      <c r="A35" s="31" t="n">
        <v>31</v>
      </c>
      <c r="B35" s="31" t="s">
        <v>288</v>
      </c>
      <c r="C35" s="32" t="s">
        <v>289</v>
      </c>
    </row>
    <row r="36" customFormat="false" ht="15" hidden="false" customHeight="false" outlineLevel="0" collapsed="false">
      <c r="A36" s="31" t="n">
        <v>32</v>
      </c>
      <c r="B36" s="31" t="s">
        <v>290</v>
      </c>
      <c r="C36" s="32" t="s">
        <v>291</v>
      </c>
    </row>
    <row r="37" customFormat="false" ht="15" hidden="false" customHeight="false" outlineLevel="0" collapsed="false">
      <c r="A37" s="31" t="n">
        <v>33</v>
      </c>
      <c r="B37" s="31" t="s">
        <v>292</v>
      </c>
      <c r="C37" s="32" t="s">
        <v>293</v>
      </c>
    </row>
    <row r="38" customFormat="false" ht="15" hidden="false" customHeight="false" outlineLevel="0" collapsed="false">
      <c r="A38" s="31" t="n">
        <v>34</v>
      </c>
      <c r="B38" s="22" t="s">
        <v>294</v>
      </c>
      <c r="C38" s="32" t="s">
        <v>295</v>
      </c>
    </row>
    <row r="39" customFormat="false" ht="15" hidden="false" customHeight="false" outlineLevel="0" collapsed="false">
      <c r="A39" s="31" t="n">
        <v>35</v>
      </c>
      <c r="B39" s="31" t="s">
        <v>296</v>
      </c>
      <c r="C39" s="32" t="s">
        <v>297</v>
      </c>
    </row>
    <row r="41" customFormat="false" ht="15" hidden="false" customHeight="false" outlineLevel="0" collapsed="false">
      <c r="A41" s="21" t="s">
        <v>298</v>
      </c>
    </row>
    <row r="42" customFormat="false" ht="15" hidden="false" customHeight="false" outlineLevel="0" collapsed="false">
      <c r="A42" s="22" t="s">
        <v>299</v>
      </c>
    </row>
    <row r="43" customFormat="false" ht="15" hidden="false" customHeight="false" outlineLevel="0" collapsed="false">
      <c r="A43" s="22" t="s">
        <v>300</v>
      </c>
    </row>
    <row r="44" customFormat="false" ht="15" hidden="false" customHeight="false" outlineLevel="0" collapsed="false">
      <c r="A44" s="22" t="s">
        <v>301</v>
      </c>
    </row>
    <row r="45" customFormat="false" ht="15" hidden="false" customHeight="false" outlineLevel="0" collapsed="false">
      <c r="A45" s="22" t="s">
        <v>302</v>
      </c>
    </row>
  </sheetData>
  <hyperlinks>
    <hyperlink ref="C5" r:id="rId1" display="https://ranking.net/twitter-follower-ranking/band"/>
    <hyperlink ref="C6" r:id="rId2" display="https://ranking.net/instagram-follower-ranking/band"/>
    <hyperlink ref="C7" r:id="rId3" display="https://yutura.net/channel/33319/chart/"/>
    <hyperlink ref="C8" r:id="rId4" display="https://www.thefirsttimes.jp/news/0000497518/"/>
    <hyperlink ref="C9" r:id="rId5" display="https://skream.jp/news/2026/10/mrs_green_apple_kyohan_mv.php"/>
    <hyperlink ref="C10" r:id="rId6" display="https://search.yahoo.co.jp/realtime/search/matome/post/002-648f3ab846dbbcd695ebbb2f"/>
    <hyperlink ref="C11" r:id="rId7" display="https://www.newscafe.ne.jp/article/2026/10/05/3033224.html"/>
    <hyperlink ref="C12" r:id="rId8" display="https://www.thefirsttimes.jp/?p=814246"/>
    <hyperlink ref="C13" r:id="rId9" display="https://hypeauditor.com/instagram/fujiikaze/"/>
    <hyperlink ref="C14" r:id="rId10" display="https://chartmetric.com/artist/3416450"/>
    <hyperlink ref="C15" r:id="rId11" display="https://ja.wikipedia.org/wiki/%E8%97%A4%E4%BA%95%E9%A2%A8"/>
    <hyperlink ref="C16" r:id="rId12" display="https://www.thefirsttimes.jp/news/0000525596/attachment-sns/"/>
    <hyperlink ref="C17" r:id="rId13" display="https://mdpr.jp/news/detail/3239992"/>
    <hyperlink ref="C18" r:id="rId14" display="https://bezzy.jp/2026/04/84949/"/>
    <hyperlink ref="C19" r:id="rId15" display="https://chartmetric.com/artist/3433193"/>
    <hyperlink ref="C20" r:id="rId16" display="https://www.tiktok.com/@vaundy_artworkstudio"/>
    <hyperlink ref="C21" r:id="rId17" display="https://realsound.jp/2026/04/post-2358816.html"/>
    <hyperlink ref="C22" r:id="rId18" display="https://chartmetric.com/artist/3634529"/>
    <hyperlink ref="C23" r:id="rId19" display="https://www.yuuriweb.com/"/>
    <hyperlink ref="C24" r:id="rId20" display="https://www.fujikyu-travel.co.jp/free2/special/yuuri.html"/>
    <hyperlink ref="C25" r:id="rId21" display="https://ja.wikipedia.org/wiki/%E3%81%82%E3%81%84%E3%81%BF%E3%82%87%E3%82%93"/>
    <hyperlink ref="C26" r:id="rId22" display="https://www.oricon.co.jp/news/2468154/full/"/>
    <hyperlink ref="C27" r:id="rId23" display="https://x.com/unborde/status/2083391412977246467"/>
    <hyperlink ref="C28" r:id="rId24" display="https://x.com/macarock0616?lang=ja"/>
    <hyperlink ref="C29" r:id="rId25" display="https://macaroniempitsu.com/news"/>
    <hyperlink ref="C30" r:id="rId26" display="https://natalie.mu/music/news/666191"/>
    <hyperlink ref="C31" r:id="rId27" display="https://yutura.net/channel/35145/"/>
    <hyperlink ref="C32" r:id="rId28" display="https://taniyuuki.com/"/>
    <hyperlink ref="C33" r:id="rId29" display="https://www.tiktok.com/@yu___09___11"/>
    <hyperlink ref="C34" r:id="rId30" display="https://x.com/yu___09___11"/>
    <hyperlink ref="C35" r:id="rId31" display="https://www.instagram.com/u_yuuki_u/"/>
    <hyperlink ref="C36" r:id="rId32" display="https://yutura.net/channel/52555/"/>
    <hyperlink ref="C37" r:id="rId33" display="https://www.youtube.com/watch?v=tJdDGAIoXL0"/>
    <hyperlink ref="C38" r:id="rId34" display="https://kansai.pia.co.jp/interview/music/2026-08/tani-yuuki.html"/>
    <hyperlink ref="C39" r:id="rId35" display="https://page.line.me/391hyqzj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2026-10-13T05:05:38Z</dcterms:created>
  <dc:creator>openpyxl</dc:creator>
  <dc:description/>
  <dc:language>en-US</dc:language>
  <cp:lastModifiedBy/>
  <dcterms:modified xsi:type="dcterms:W3CDTF">2026-10-13T05:05:38Z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